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ó traduzir" sheetId="1" state="visible" r:id="rId1"/>
    <sheet xmlns:r="http://schemas.openxmlformats.org/officeDocument/2006/relationships" name="QR e vídeos" sheetId="2" state="visible" r:id="rId2"/>
  </sheets>
  <definedNames>
    <definedName name="_xlnm._FilterDatabase" localSheetId="0" hidden="1">'Só traduzir'!$A$5:$K$23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7A1F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C00000"/>
      <sz val="9"/>
    </font>
    <font>
      <name val="Arial"/>
      <b val="1"/>
      <color rgb="001F3864"/>
      <sz val="11"/>
    </font>
    <font>
      <name val="Arial"/>
      <b val="1"/>
      <color rgb="00595959"/>
      <sz val="9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  <color rgb="009C0006"/>
      <sz val="10"/>
    </font>
    <font>
      <name val="Arial"/>
      <color rgb="00595959"/>
      <sz val="10"/>
    </font>
    <font>
      <name val="Arial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7F7F7"/>
      </patternFill>
    </fill>
    <fill>
      <patternFill patternType="solid">
        <fgColor rgb="00FCE4D6"/>
      </patternFill>
    </fill>
    <fill>
      <patternFill patternType="solid">
        <fgColor rgb="00D6E4FF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/>
    </xf>
    <xf numFmtId="0" fontId="5" fillId="6" borderId="1" applyAlignment="1" pivotButton="0" quotePrefix="0" xfId="0">
      <alignment vertical="top"/>
    </xf>
    <xf numFmtId="0" fontId="7" fillId="0" borderId="1" applyAlignment="1" pivotButton="0" quotePrefix="0" xfId="0">
      <alignment horizontal="center"/>
    </xf>
    <xf numFmtId="0" fontId="8" fillId="5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9" fillId="3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/>
    </xf>
    <xf numFmtId="0" fontId="8" fillId="0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1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14" fillId="8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15" fillId="0" borderId="0" pivotButton="0" quotePrefix="0" xfId="0"/>
    <xf numFmtId="0" fontId="5" fillId="0" borderId="1" applyAlignment="1" pivotButton="0" quotePrefix="0" xfId="0">
      <alignment vertical="top"/>
    </xf>
    <xf numFmtId="0" fontId="13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12" fillId="0" borderId="0" pivotButton="0" quotePrefix="0" xfId="0"/>
    <xf numFmtId="0" fontId="12" fillId="0" borderId="1" pivotButton="0" quotePrefix="0" xfId="0"/>
    <xf numFmtId="0" fontId="5" fillId="0" borderId="1" pivotButton="0" quotePrefix="0" xfId="0"/>
    <xf numFmtId="0" fontId="13" fillId="0" borderId="0" pivotButton="0" quotePrefix="0" xfId="0"/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14" customWidth="1" min="3" max="3"/>
    <col width="46" customWidth="1" min="4" max="4"/>
    <col width="46" customWidth="1" min="5" max="5"/>
    <col width="30" customWidth="1" min="6" max="6"/>
    <col width="48" customWidth="1" min="7" max="7"/>
    <col width="11" customWidth="1" min="8" max="8"/>
    <col width="68" customWidth="1" min="9" max="9"/>
    <col width="60" customWidth="1" min="10" max="10"/>
    <col width="14" customWidth="1" min="11" max="11"/>
  </cols>
  <sheetData>
    <row r="1">
      <c r="A1" s="1" t="inlineStr">
        <is>
          <t>Vídeos a traduzir para espanhol — lista para o editor</t>
        </is>
      </c>
    </row>
    <row r="2">
      <c r="A2" s="36" t="inlineStr">
        <is>
          <t>Preenchimento Tridimensional de Olheiras · Dr. João Pithon · 18 vídeos, sem repetição</t>
        </is>
      </c>
    </row>
    <row r="3">
      <c r="A3" s="2" t="inlineStr">
        <is>
          <t>Use o filtro da coluna «Origem» para separar YouTube de Google Drive. Observações técnicas de diagramação e QR estão na aba «QR e vídeos».</t>
        </is>
      </c>
    </row>
    <row r="5" ht="30" customHeight="1">
      <c r="A5" s="4" t="inlineStr">
        <is>
          <t>#</t>
        </is>
      </c>
      <c r="B5" s="4" t="inlineStr">
        <is>
          <t>Origem</t>
        </is>
      </c>
      <c r="C5" s="4" t="inlineStr">
        <is>
          <t>Pág. do ebook</t>
        </is>
      </c>
      <c r="D5" s="4" t="inlineStr">
        <is>
          <t>Título PT</t>
        </is>
      </c>
      <c r="E5" s="4" t="inlineStr">
        <is>
          <t>Título ES</t>
        </is>
      </c>
      <c r="F5" s="4" t="inlineStr">
        <is>
          <t>Assunto</t>
        </is>
      </c>
      <c r="G5" s="4" t="inlineStr">
        <is>
          <t>Arquivo de origem</t>
        </is>
      </c>
      <c r="H5" s="4" t="inlineStr">
        <is>
          <t>Duração</t>
        </is>
      </c>
      <c r="I5" s="4" t="inlineStr">
        <is>
          <t>Link do vídeo</t>
        </is>
      </c>
      <c r="J5" s="4" t="inlineStr">
        <is>
          <t>Link da versão ES</t>
        </is>
      </c>
      <c r="K5" s="4" t="inlineStr">
        <is>
          <t>Status</t>
        </is>
      </c>
    </row>
    <row r="6">
      <c r="A6" s="37" t="n">
        <v>1</v>
      </c>
      <c r="B6" s="38" t="inlineStr">
        <is>
          <t>Google Drive</t>
        </is>
      </c>
      <c r="C6" s="26" t="inlineStr">
        <is>
          <t>14</t>
        </is>
      </c>
      <c r="D6" s="7" t="inlineStr">
        <is>
          <t>Outros fatores que levam ao envelhecimento da face</t>
        </is>
      </c>
      <c r="E6" s="7" t="inlineStr">
        <is>
          <t>Otros factores que conducen al envejecimiento facial</t>
        </is>
      </c>
      <c r="F6" s="7" t="inlineStr">
        <is>
          <t>Anatomia · fisiologia do envelhecimento</t>
        </is>
      </c>
      <c r="G6" s="7" t="inlineStr">
        <is>
          <t>video 2 - fisio envelhecimento.mp4</t>
        </is>
      </c>
      <c r="H6" s="39" t="n"/>
      <c r="I6" s="37" t="inlineStr">
        <is>
          <t>https://drive.google.com/file/d/1HwoJC-1_lPVUSta0TDL_rTCL6s-zbfPP/view</t>
        </is>
      </c>
      <c r="J6" s="40" t="n"/>
      <c r="K6" s="40" t="inlineStr">
        <is>
          <t>pendente</t>
        </is>
      </c>
    </row>
    <row r="7">
      <c r="A7" s="41" t="n">
        <v>2</v>
      </c>
      <c r="B7" s="38" t="inlineStr">
        <is>
          <t>Google Drive</t>
        </is>
      </c>
      <c r="C7" s="42" t="inlineStr">
        <is>
          <t>20</t>
        </is>
      </c>
      <c r="D7" s="12" t="inlineStr">
        <is>
          <t>Anatomia no cadáver — revisão completa</t>
        </is>
      </c>
      <c r="E7" s="12" t="inlineStr">
        <is>
          <t>Anatomía en cadáver — revisión completa</t>
        </is>
      </c>
      <c r="F7" s="12" t="inlineStr">
        <is>
          <t>Anatomia · dissecção</t>
        </is>
      </c>
      <c r="G7" s="12" t="inlineStr">
        <is>
          <t>ANATOMIA NO CADAVER - REVISAO COMPLETA.mp4</t>
        </is>
      </c>
      <c r="H7" s="39" t="n"/>
      <c r="I7" s="41" t="inlineStr">
        <is>
          <t>https://drive.google.com/file/d/1zg1QC8ae2GOl4xOB5dWWArZBzKhfJHXk/view</t>
        </is>
      </c>
      <c r="J7" s="40" t="n"/>
      <c r="K7" s="40" t="inlineStr">
        <is>
          <t>pendente</t>
        </is>
      </c>
    </row>
    <row r="8">
      <c r="A8" s="37" t="n">
        <v>3</v>
      </c>
      <c r="B8" s="38" t="inlineStr">
        <is>
          <t>Google Drive</t>
        </is>
      </c>
      <c r="C8" s="26" t="inlineStr">
        <is>
          <t>22</t>
        </is>
      </c>
      <c r="D8" s="7" t="inlineStr">
        <is>
          <t>O que é SOOF?</t>
        </is>
      </c>
      <c r="E8" s="7" t="inlineStr">
        <is>
          <t>¿Qué es la SOOF?</t>
        </is>
      </c>
      <c r="F8" s="7" t="inlineStr">
        <is>
          <t>Anatomia · compartimentos grasos</t>
        </is>
      </c>
      <c r="G8" s="7" t="inlineStr">
        <is>
          <t>O QUE É O SOOF.mp4</t>
        </is>
      </c>
      <c r="H8" s="39" t="n"/>
      <c r="I8" s="37" t="inlineStr">
        <is>
          <t>https://drive.google.com/file/d/1OmShQSqAWbdBPSBzhcjjnEGw0bh_XUbT/view</t>
        </is>
      </c>
      <c r="J8" s="40" t="n"/>
      <c r="K8" s="40" t="inlineStr">
        <is>
          <t>pendente</t>
        </is>
      </c>
    </row>
    <row r="9">
      <c r="A9" s="41" t="n">
        <v>4</v>
      </c>
      <c r="B9" s="38" t="inlineStr">
        <is>
          <t>Google Drive</t>
        </is>
      </c>
      <c r="C9" s="42" t="inlineStr">
        <is>
          <t>28</t>
        </is>
      </c>
      <c r="D9" s="12" t="inlineStr">
        <is>
          <t>PT 2. Anatomia dos ligamentos verdadeiros e falsos</t>
        </is>
      </c>
      <c r="E9" s="12" t="inlineStr">
        <is>
          <t>PT 2. Anatomía de los ligamentos verdaderos y falsos</t>
        </is>
      </c>
      <c r="F9" s="12" t="inlineStr">
        <is>
          <t>Anatomia · ligamentos retentores</t>
        </is>
      </c>
      <c r="G9" s="12" t="inlineStr">
        <is>
          <t>pt2. ANATOMIA DOS LIGAMENTOS RETENTORES.mp4</t>
        </is>
      </c>
      <c r="H9" s="39" t="n"/>
      <c r="I9" s="41" t="inlineStr">
        <is>
          <t>https://drive.google.com/file/d/1is3EUbeHVE3KDhhZsX_LG6koR6uGZY31/view</t>
        </is>
      </c>
      <c r="J9" s="40" t="n"/>
      <c r="K9" s="40" t="inlineStr">
        <is>
          <t>pendente</t>
        </is>
      </c>
    </row>
    <row r="10">
      <c r="A10" s="37" t="n">
        <v>5</v>
      </c>
      <c r="B10" s="38" t="inlineStr">
        <is>
          <t>Google Drive</t>
        </is>
      </c>
      <c r="C10" s="26" t="inlineStr">
        <is>
          <t>34</t>
        </is>
      </c>
      <c r="D10" s="7" t="inlineStr">
        <is>
          <t>PT 1. Anatomia dos ligamentos verdadeiros e falsos</t>
        </is>
      </c>
      <c r="E10" s="7" t="inlineStr">
        <is>
          <t>PT 1. Anatomía de los ligamentos verdaderos y falsos</t>
        </is>
      </c>
      <c r="F10" s="7" t="inlineStr">
        <is>
          <t>Anatomia · ligamentos retentores</t>
        </is>
      </c>
      <c r="G10" s="7" t="inlineStr">
        <is>
          <t>pt 1. anatomia dos liagamentos verdadeiros e falsos.mp4</t>
        </is>
      </c>
      <c r="H10" s="39" t="n"/>
      <c r="I10" s="37" t="inlineStr">
        <is>
          <t>https://drive.google.com/file/d/1PwikjaqDastNx9AR9pqqH-OHxGqWHM7g/view</t>
        </is>
      </c>
      <c r="J10" s="40" t="n"/>
      <c r="K10" s="40" t="inlineStr">
        <is>
          <t>pendente</t>
        </is>
      </c>
    </row>
    <row r="11">
      <c r="A11" s="41" t="n">
        <v>6</v>
      </c>
      <c r="B11" s="43" t="inlineStr">
        <is>
          <t>YouTube</t>
        </is>
      </c>
      <c r="C11" s="42" t="inlineStr">
        <is>
          <t>46</t>
        </is>
      </c>
      <c r="D11" s="12" t="inlineStr">
        <is>
          <t>Reologia</t>
        </is>
      </c>
      <c r="E11" s="12" t="inlineStr">
        <is>
          <t>Reología</t>
        </is>
      </c>
      <c r="F11" s="12" t="inlineStr">
        <is>
          <t>Reologia · escolha do preenchedor</t>
        </is>
      </c>
      <c r="G11" s="12" t="inlineStr">
        <is>
          <t>(YouTube)</t>
        </is>
      </c>
      <c r="H11" s="39" t="n"/>
      <c r="I11" s="41" t="inlineStr">
        <is>
          <t>https://www.youtube.com/watch?v=E6Jr5bm__Ys</t>
        </is>
      </c>
      <c r="J11" s="40" t="n"/>
      <c r="K11" s="40" t="inlineStr">
        <is>
          <t>pendente</t>
        </is>
      </c>
    </row>
    <row r="12">
      <c r="A12" s="37" t="n">
        <v>7</v>
      </c>
      <c r="B12" s="43" t="inlineStr">
        <is>
          <t>YouTube</t>
        </is>
      </c>
      <c r="C12" s="26" t="inlineStr">
        <is>
          <t>49</t>
        </is>
      </c>
      <c r="D12" s="7" t="inlineStr">
        <is>
          <t>Planejamento de preenchimento</t>
        </is>
      </c>
      <c r="E12" s="7" t="inlineStr">
        <is>
          <t>Planificación del relleno</t>
        </is>
      </c>
      <c r="F12" s="7" t="inlineStr">
        <is>
          <t>Técnica · planejamento</t>
        </is>
      </c>
      <c r="G12" s="7" t="inlineStr">
        <is>
          <t>(YouTube)</t>
        </is>
      </c>
      <c r="H12" s="39" t="n"/>
      <c r="I12" s="37" t="inlineStr">
        <is>
          <t>https://www.youtube.com/shorts/PkKmtkkbV14</t>
        </is>
      </c>
      <c r="J12" s="40" t="n"/>
      <c r="K12" s="40" t="inlineStr">
        <is>
          <t>pendente</t>
        </is>
      </c>
    </row>
    <row r="13">
      <c r="A13" s="41" t="n">
        <v>8</v>
      </c>
      <c r="B13" s="43" t="inlineStr">
        <is>
          <t>YouTube</t>
        </is>
      </c>
      <c r="C13" s="42" t="inlineStr">
        <is>
          <t>49</t>
        </is>
      </c>
      <c r="D13" s="12" t="inlineStr">
        <is>
          <t>Pertuitos e raciocínio clínico</t>
        </is>
      </c>
      <c r="E13" s="12" t="inlineStr">
        <is>
          <t>Pertuitos y razonamiento clínico</t>
        </is>
      </c>
      <c r="F13" s="12" t="inlineStr">
        <is>
          <t>Técnica · pertuitos</t>
        </is>
      </c>
      <c r="G13" s="12" t="inlineStr">
        <is>
          <t>(YouTube)</t>
        </is>
      </c>
      <c r="H13" s="39" t="n"/>
      <c r="I13" s="41" t="inlineStr">
        <is>
          <t>https://www.youtube.com/shorts/kbocfP1toT4</t>
        </is>
      </c>
      <c r="J13" s="40" t="n"/>
      <c r="K13" s="40" t="inlineStr">
        <is>
          <t>pendente</t>
        </is>
      </c>
    </row>
    <row r="14">
      <c r="A14" s="37" t="n">
        <v>9</v>
      </c>
      <c r="B14" s="43" t="inlineStr">
        <is>
          <t>YouTube</t>
        </is>
      </c>
      <c r="C14" s="26" t="inlineStr">
        <is>
          <t>49, 57</t>
        </is>
      </c>
      <c r="D14" s="7" t="inlineStr">
        <is>
          <t>Marcação dos ligamentos</t>
        </is>
      </c>
      <c r="E14" s="7" t="inlineStr">
        <is>
          <t>Marcación de los ligamentos</t>
        </is>
      </c>
      <c r="F14" s="7" t="inlineStr">
        <is>
          <t>Técnica · marcação</t>
        </is>
      </c>
      <c r="G14" s="7" t="inlineStr">
        <is>
          <t>(YouTube)</t>
        </is>
      </c>
      <c r="H14" s="39" t="n"/>
      <c r="I14" s="37" t="inlineStr">
        <is>
          <t>https://www.youtube.com/shorts/l05fBSo_5ws</t>
        </is>
      </c>
      <c r="J14" s="40" t="n"/>
      <c r="K14" s="40" t="inlineStr">
        <is>
          <t>pendente</t>
        </is>
      </c>
    </row>
    <row r="15">
      <c r="A15" s="41" t="n">
        <v>10</v>
      </c>
      <c r="B15" s="43" t="inlineStr">
        <is>
          <t>YouTube</t>
        </is>
      </c>
      <c r="C15" s="42" t="inlineStr">
        <is>
          <t>50</t>
        </is>
      </c>
      <c r="D15" s="12" t="inlineStr">
        <is>
          <t>Explicação do planejamento dos pertuitos</t>
        </is>
      </c>
      <c r="E15" s="12" t="inlineStr">
        <is>
          <t>Explicación de la planificación de los pertuitos</t>
        </is>
      </c>
      <c r="F15" s="12" t="inlineStr">
        <is>
          <t>Técnica · pertuitos</t>
        </is>
      </c>
      <c r="G15" s="12" t="inlineStr">
        <is>
          <t>(YouTube)</t>
        </is>
      </c>
      <c r="H15" s="39" t="n"/>
      <c r="I15" s="41" t="inlineStr">
        <is>
          <t>https://www.youtube.com/shorts/awa6wCo_Zl8</t>
        </is>
      </c>
      <c r="J15" s="40" t="n"/>
      <c r="K15" s="40" t="inlineStr">
        <is>
          <t>pendente</t>
        </is>
      </c>
    </row>
    <row r="16">
      <c r="A16" s="37" t="n">
        <v>11</v>
      </c>
      <c r="B16" s="43" t="inlineStr">
        <is>
          <t>YouTube</t>
        </is>
      </c>
      <c r="C16" s="26" t="inlineStr">
        <is>
          <t>51, 57</t>
        </is>
      </c>
      <c r="D16" s="7" t="inlineStr">
        <is>
          <t>Primeiro pertuito</t>
        </is>
      </c>
      <c r="E16" s="7" t="inlineStr">
        <is>
          <t>Primer pertuito</t>
        </is>
      </c>
      <c r="F16" s="7" t="inlineStr">
        <is>
          <t>Técnica · pertuitos</t>
        </is>
      </c>
      <c r="G16" s="7" t="inlineStr">
        <is>
          <t>(YouTube)</t>
        </is>
      </c>
      <c r="H16" s="39" t="n"/>
      <c r="I16" s="37" t="inlineStr">
        <is>
          <t>https://www.youtube.com/watch?v=63nh2AQiAtA</t>
        </is>
      </c>
      <c r="J16" s="40" t="n"/>
      <c r="K16" s="40" t="inlineStr">
        <is>
          <t>pendente</t>
        </is>
      </c>
    </row>
    <row r="17">
      <c r="A17" s="41" t="n">
        <v>12</v>
      </c>
      <c r="B17" s="43" t="inlineStr">
        <is>
          <t>YouTube</t>
        </is>
      </c>
      <c r="C17" s="42" t="inlineStr">
        <is>
          <t>51</t>
        </is>
      </c>
      <c r="D17" s="12" t="inlineStr">
        <is>
          <t>Segundo pertuito</t>
        </is>
      </c>
      <c r="E17" s="12" t="inlineStr">
        <is>
          <t>Segundo pertuito</t>
        </is>
      </c>
      <c r="F17" s="12" t="inlineStr">
        <is>
          <t>Técnica · pertuitos</t>
        </is>
      </c>
      <c r="G17" s="12" t="inlineStr">
        <is>
          <t>(YouTube)</t>
        </is>
      </c>
      <c r="H17" s="39" t="n"/>
      <c r="I17" s="41" t="inlineStr">
        <is>
          <t>https://www.youtube.com/watch?v=GX9u2yyem7E</t>
        </is>
      </c>
      <c r="J17" s="40" t="n"/>
      <c r="K17" s="40" t="inlineStr">
        <is>
          <t>pendente</t>
        </is>
      </c>
    </row>
    <row r="18">
      <c r="A18" s="37" t="n">
        <v>13</v>
      </c>
      <c r="B18" s="43" t="inlineStr">
        <is>
          <t>YouTube</t>
        </is>
      </c>
      <c r="C18" s="26" t="inlineStr">
        <is>
          <t>52</t>
        </is>
      </c>
      <c r="D18" s="7" t="inlineStr">
        <is>
          <t>Terceiro e quarto pertuito</t>
        </is>
      </c>
      <c r="E18" s="7" t="inlineStr">
        <is>
          <t>Tercer y cuarto pertuito</t>
        </is>
      </c>
      <c r="F18" s="7" t="inlineStr">
        <is>
          <t>Técnica · pertuitos</t>
        </is>
      </c>
      <c r="G18" s="7" t="inlineStr">
        <is>
          <t>(YouTube)</t>
        </is>
      </c>
      <c r="H18" s="39" t="n"/>
      <c r="I18" s="37" t="inlineStr">
        <is>
          <t>https://www.youtube.com/watch?v=FHyZ4Ee_q1E</t>
        </is>
      </c>
      <c r="J18" s="40" t="n"/>
      <c r="K18" s="40" t="inlineStr">
        <is>
          <t>pendente</t>
        </is>
      </c>
    </row>
    <row r="19">
      <c r="A19" s="41" t="n">
        <v>14</v>
      </c>
      <c r="B19" s="43" t="inlineStr">
        <is>
          <t>YouTube</t>
        </is>
      </c>
      <c r="C19" s="42" t="inlineStr">
        <is>
          <t>54</t>
        </is>
      </c>
      <c r="D19" s="12" t="inlineStr">
        <is>
          <t>Demonstração do botão anestésico</t>
        </is>
      </c>
      <c r="E19" s="12" t="inlineStr">
        <is>
          <t>Demostración del botón anestésico</t>
        </is>
      </c>
      <c r="F19" s="12" t="inlineStr">
        <is>
          <t>Técnica · anestesia</t>
        </is>
      </c>
      <c r="G19" s="12" t="inlineStr">
        <is>
          <t>(YouTube)</t>
        </is>
      </c>
      <c r="H19" s="39" t="n"/>
      <c r="I19" s="41" t="inlineStr">
        <is>
          <t>https://www.youtube.com/shorts/CrQ3cQIpKpc</t>
        </is>
      </c>
      <c r="J19" s="40" t="n"/>
      <c r="K19" s="40" t="inlineStr">
        <is>
          <t>pendente</t>
        </is>
      </c>
    </row>
    <row r="20">
      <c r="A20" s="37" t="n">
        <v>15</v>
      </c>
      <c r="B20" s="43" t="inlineStr">
        <is>
          <t>YouTube</t>
        </is>
      </c>
      <c r="C20" s="26" t="inlineStr">
        <is>
          <t>57</t>
        </is>
      </c>
      <c r="D20" s="7" t="inlineStr">
        <is>
          <t>Técnica completa / raciocínio clínico</t>
        </is>
      </c>
      <c r="E20" s="7" t="inlineStr">
        <is>
          <t>Técnica completa / razonamiento clínico</t>
        </is>
      </c>
      <c r="F20" s="7" t="inlineStr">
        <is>
          <t>Técnica · caso clínico</t>
        </is>
      </c>
      <c r="G20" s="7" t="inlineStr">
        <is>
          <t>(YouTube)</t>
        </is>
      </c>
      <c r="H20" s="39" t="n"/>
      <c r="I20" s="37" t="inlineStr">
        <is>
          <t>https://www.youtube.com/shorts/_UvdKBkx3dU</t>
        </is>
      </c>
      <c r="J20" s="40" t="n"/>
      <c r="K20" s="40" t="inlineStr">
        <is>
          <t>pendente</t>
        </is>
      </c>
    </row>
    <row r="21">
      <c r="A21" s="41" t="n">
        <v>16</v>
      </c>
      <c r="B21" s="38" t="inlineStr">
        <is>
          <t>Google Drive</t>
        </is>
      </c>
      <c r="C21" s="42" t="inlineStr">
        <is>
          <t>61</t>
        </is>
      </c>
      <c r="D21" s="12" t="inlineStr">
        <is>
          <t>Hialuronidase na região orbital — caso clínico 2</t>
        </is>
      </c>
      <c r="E21" s="12" t="inlineStr">
        <is>
          <t>Hialuronidasa en la región orbitaria — caso clínico 2</t>
        </is>
      </c>
      <c r="F21" s="12" t="inlineStr">
        <is>
          <t>Intercorrências · hialuronidase</t>
        </is>
      </c>
      <c r="G21" s="12" t="inlineStr">
        <is>
          <t>Caso clínico 2 - Hialuronidase.mp4</t>
        </is>
      </c>
      <c r="H21" s="39" t="n"/>
      <c r="I21" s="41" t="inlineStr">
        <is>
          <t>https://drive.google.com/file/d/18J0kJ0kq_OiVoL7ExuHxsQJZG_DzysLS/view</t>
        </is>
      </c>
      <c r="J21" s="40" t="n"/>
      <c r="K21" s="40" t="inlineStr">
        <is>
          <t>pendente</t>
        </is>
      </c>
    </row>
    <row r="22">
      <c r="A22" s="37" t="n">
        <v>17</v>
      </c>
      <c r="B22" s="38" t="inlineStr">
        <is>
          <t>Google Drive</t>
        </is>
      </c>
      <c r="C22" s="26" t="inlineStr">
        <is>
          <t>61</t>
        </is>
      </c>
      <c r="D22" s="7" t="inlineStr">
        <is>
          <t>Hialuronidase na região orbital — aula 8</t>
        </is>
      </c>
      <c r="E22" s="7" t="inlineStr">
        <is>
          <t>Hialuronidasa en la región orbitaria — clase 8</t>
        </is>
      </c>
      <c r="F22" s="7" t="inlineStr">
        <is>
          <t>Intercorrências · hialuronidase</t>
        </is>
      </c>
      <c r="G22" s="7" t="inlineStr">
        <is>
          <t>Dia 17 Aula 8.mp4</t>
        </is>
      </c>
      <c r="H22" s="39" t="n"/>
      <c r="I22" s="37" t="inlineStr">
        <is>
          <t>https://drive.google.com/file/d/1o8GJ5chWVE3bAnvLYUbzfBo5Lqw7v95Z/view</t>
        </is>
      </c>
      <c r="J22" s="40" t="n"/>
      <c r="K22" s="40" t="inlineStr">
        <is>
          <t>pendente</t>
        </is>
      </c>
    </row>
    <row r="23">
      <c r="A23" s="41" t="n">
        <v>18</v>
      </c>
      <c r="B23" s="38" t="inlineStr">
        <is>
          <t>Google Drive</t>
        </is>
      </c>
      <c r="C23" s="42" t="inlineStr">
        <is>
          <t>64</t>
        </is>
      </c>
      <c r="D23" s="12" t="inlineStr">
        <is>
          <t>Raciocínio clínico para evitar irregularidades e relevo</t>
        </is>
      </c>
      <c r="E23" s="12" t="inlineStr">
        <is>
          <t>Razonamiento clínico para evitar irregularidades y relieve</t>
        </is>
      </c>
      <c r="F23" s="12" t="inlineStr">
        <is>
          <t>Intercorrências · irregularidades</t>
        </is>
      </c>
      <c r="G23" s="12" t="inlineStr">
        <is>
          <t>RACIOCIONIO POR TRAZ DO PREENCHIMENTO.mp4</t>
        </is>
      </c>
      <c r="H23" s="39" t="n"/>
      <c r="I23" s="41" t="inlineStr">
        <is>
          <t>https://drive.google.com/file/d/1cKZXapLdvwJ-YPATGMQPOBvqyX9mrn2L/view</t>
        </is>
      </c>
      <c r="J23" s="40" t="n"/>
      <c r="K23" s="40" t="inlineStr">
        <is>
          <t>pendente</t>
        </is>
      </c>
    </row>
    <row r="25">
      <c r="A25" s="44" t="inlineStr">
        <is>
          <t>Total de vídeos</t>
        </is>
      </c>
      <c r="D25" s="45">
        <f>COUNTA(A6:A23)</f>
        <v/>
      </c>
      <c r="E25" s="24" t="n">
        <v>18</v>
      </c>
    </row>
    <row r="26">
      <c r="A26" s="24" t="inlineStr">
        <is>
          <t>YouTube</t>
        </is>
      </c>
      <c r="D26" s="46">
        <f>COUNTIF(B6:B23,"YouTube")</f>
        <v/>
      </c>
      <c r="E26" s="24" t="n">
        <v>10</v>
      </c>
    </row>
    <row r="27">
      <c r="A27" s="24" t="inlineStr">
        <is>
          <t>Google Drive</t>
        </is>
      </c>
      <c r="D27" s="46">
        <f>COUNTIF(B6:B23,"Google Drive")</f>
        <v/>
      </c>
      <c r="E27" s="24" t="n">
        <v>8</v>
      </c>
    </row>
    <row r="29">
      <c r="A29" s="2" t="inlineStr">
        <is>
          <t>Coluna «Duração»: a preencher. Não é possível ler a duração pelo conector do Drive nem pelo YouTube neste ambiente.</t>
        </is>
      </c>
    </row>
    <row r="30">
      <c r="A30" s="2" t="inlineStr">
        <is>
          <t>Coluna «Pág. do ebook»: onde há duas páginas, o mesmo vídeo é chamado dos dois lugares — uma versão ES atende as duas.</t>
        </is>
      </c>
    </row>
  </sheetData>
  <autoFilter ref="A5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3" customWidth="1" min="4" max="4"/>
    <col width="44" customWidth="1" min="5" max="5"/>
    <col width="44" customWidth="1" min="6" max="6"/>
    <col width="30" customWidth="1" min="7" max="7"/>
    <col width="46" customWidth="1" min="8" max="8"/>
    <col width="8" customWidth="1" min="9" max="9"/>
    <col width="66" customWidth="1" min="10" max="10"/>
    <col width="13" customWidth="1" min="11" max="11"/>
    <col width="10" customWidth="1" min="12" max="12"/>
    <col width="10" customWidth="1" min="13" max="13"/>
    <col width="9" customWidth="1" min="14" max="14"/>
    <col width="58" customWidth="1" min="15" max="15"/>
    <col width="14" customWidth="1" min="16" max="16"/>
    <col width="14" customWidth="1" min="17" max="17"/>
    <col width="13" customWidth="1" min="18" max="18"/>
    <col width="34" customWidth="1" min="19" max="19"/>
  </cols>
  <sheetData>
    <row r="1">
      <c r="A1" s="1" t="inlineStr">
        <is>
          <t>Inventário completo de QR Codes, vídeos e artigos — Preenchimento Tridimensional de Olheiras</t>
        </is>
      </c>
    </row>
    <row r="2">
      <c r="A2" s="2" t="inlineStr">
        <is>
          <t>32 QR decodificados do PDF (OpenCV 300/450 dpi) · destinos classificados pelo mimeType real no Google Drive · 20 apontam para vídeo (precisam de versão ES e QR regerado), 12 para artigo científico (permanecem em inglês, QR não muda)</t>
        </is>
      </c>
    </row>
    <row r="3">
      <c r="A3" s="3" t="inlineStr">
        <is>
          <t>Preencha apenas as colunas amarelas. Onde «Marcador t=» estiver em vermelho, o link abre o vídeo num ponto específico: recalcular se a versão ES tiver corte diferente. O QR é imagem — trocar o link não muda o QR, a imagem tem de ser regerada e conferida escaneando.</t>
        </is>
      </c>
    </row>
    <row r="5" ht="32" customHeight="1">
      <c r="A5" s="4" t="inlineStr">
        <is>
          <t>#</t>
        </is>
      </c>
      <c r="B5" s="4" t="inlineStr">
        <is>
          <t>Pág.</t>
        </is>
      </c>
      <c r="C5" s="4" t="inlineStr">
        <is>
          <t>Tipo</t>
        </is>
      </c>
      <c r="D5" s="4" t="inlineStr">
        <is>
          <t>Plataforma</t>
        </is>
      </c>
      <c r="E5" s="4" t="inlineStr">
        <is>
          <t>Rótulo PT</t>
        </is>
      </c>
      <c r="F5" s="4" t="inlineStr">
        <is>
          <t>Rótulo ES</t>
        </is>
      </c>
      <c r="G5" s="4" t="inlineStr">
        <is>
          <t>Assunto</t>
        </is>
      </c>
      <c r="H5" s="4" t="inlineStr">
        <is>
          <t>Arquivo de origem</t>
        </is>
      </c>
      <c r="I5" s="4" t="inlineStr">
        <is>
          <t>Tam.</t>
        </is>
      </c>
      <c r="J5" s="4" t="inlineStr">
        <is>
          <t>Link atual</t>
        </is>
      </c>
      <c r="K5" s="4" t="inlineStr">
        <is>
          <t>Marcador t= (s)</t>
        </is>
      </c>
      <c r="L5" s="4" t="inlineStr">
        <is>
          <t>Repetido</t>
        </is>
      </c>
      <c r="M5" s="4" t="inlineStr">
        <is>
          <t>Traduzir?</t>
        </is>
      </c>
      <c r="N5" s="4" t="inlineStr">
        <is>
          <t>ID</t>
        </is>
      </c>
      <c r="O5" s="4" t="inlineStr">
        <is>
          <t>Link ES</t>
        </is>
      </c>
      <c r="P5" s="4" t="inlineStr">
        <is>
          <t>Status</t>
        </is>
      </c>
      <c r="Q5" s="4" t="inlineStr">
        <is>
          <t>Responsável</t>
        </is>
      </c>
      <c r="R5" s="4" t="inlineStr">
        <is>
          <t>Data prevista</t>
        </is>
      </c>
      <c r="S5" s="4" t="inlineStr">
        <is>
          <t>Observação</t>
        </is>
      </c>
    </row>
    <row r="6">
      <c r="A6" s="27" t="n">
        <v>1</v>
      </c>
      <c r="B6" s="27" t="n">
        <v>6</v>
      </c>
      <c r="C6" s="6" t="inlineStr">
        <is>
          <t>Artigo</t>
        </is>
      </c>
      <c r="D6" s="27" t="inlineStr">
        <is>
          <t>Google Drive</t>
        </is>
      </c>
      <c r="E6" s="7" t="inlineStr">
        <is>
          <t>Clique aqui e baixe o artigo</t>
        </is>
      </c>
      <c r="F6" s="7" t="inlineStr">
        <is>
          <t>Haga clic aquí y descargue el artículo</t>
        </is>
      </c>
      <c r="G6" s="7" t="inlineStr">
        <is>
          <t>Artigo do autor · JCEDR</t>
        </is>
      </c>
      <c r="H6" s="7" t="inlineStr">
        <is>
          <t>JCEDR-24-35561.pdf</t>
        </is>
      </c>
      <c r="I6" s="27" t="inlineStr">
        <is>
          <t>556 KB</t>
        </is>
      </c>
      <c r="J6" s="27" t="inlineStr">
        <is>
          <t>https://drive.google.com/file/d/1q9C5LiGEo1ytzX5z5Xybmb9gqkmzJEVp/view</t>
        </is>
      </c>
      <c r="K6" s="27" t="n"/>
      <c r="L6" s="27" t="inlineStr">
        <is>
          <t>não</t>
        </is>
      </c>
      <c r="M6" s="8" t="inlineStr">
        <is>
          <t>NÃO</t>
        </is>
      </c>
      <c r="N6" s="27" t="inlineStr">
        <is>
          <t>1q9C5L</t>
        </is>
      </c>
      <c r="O6" s="29" t="n"/>
      <c r="P6" s="29" t="inlineStr">
        <is>
          <t>n/a</t>
        </is>
      </c>
      <c r="Q6" s="29" t="n"/>
      <c r="R6" s="29" t="n"/>
      <c r="S6" s="10" t="n"/>
    </row>
    <row r="7">
      <c r="A7" s="30" t="n">
        <v>2</v>
      </c>
      <c r="B7" s="30" t="n">
        <v>12</v>
      </c>
      <c r="C7" s="6" t="inlineStr">
        <is>
          <t>Artigo</t>
        </is>
      </c>
      <c r="D7" s="30" t="inlineStr">
        <is>
          <t>Google Drive</t>
        </is>
      </c>
      <c r="E7" s="12" t="inlineStr">
        <is>
          <t>Baixe o e-book Allergan</t>
        </is>
      </c>
      <c r="F7" s="12" t="inlineStr">
        <is>
          <t>Descargue el e-book de Allergan</t>
        </is>
      </c>
      <c r="G7" s="12" t="inlineStr">
        <is>
          <t>Envelhecimento facial · Allergan</t>
        </is>
      </c>
      <c r="H7" s="12" t="inlineStr">
        <is>
          <t>Facial-Aging-Flipchart.pdf</t>
        </is>
      </c>
      <c r="I7" s="30" t="inlineStr">
        <is>
          <t>4,4 MB</t>
        </is>
      </c>
      <c r="J7" s="30" t="inlineStr">
        <is>
          <t>https://drive.google.com/file/d/1fEV5ed5ht84TZMXfyFY0UQaepV1aVBxN/view?usp=drive_link</t>
        </is>
      </c>
      <c r="K7" s="30" t="n"/>
      <c r="L7" s="30" t="inlineStr">
        <is>
          <t>não</t>
        </is>
      </c>
      <c r="M7" s="13" t="inlineStr">
        <is>
          <t>NÃO</t>
        </is>
      </c>
      <c r="N7" s="30" t="inlineStr">
        <is>
          <t>1fEV5e</t>
        </is>
      </c>
      <c r="O7" s="29" t="n"/>
      <c r="P7" s="29" t="inlineStr">
        <is>
          <t>n/a</t>
        </is>
      </c>
      <c r="Q7" s="29" t="n"/>
      <c r="R7" s="29" t="n"/>
      <c r="S7" s="10" t="n"/>
    </row>
    <row r="8">
      <c r="A8" s="27" t="n">
        <v>3</v>
      </c>
      <c r="B8" s="27" t="n">
        <v>13</v>
      </c>
      <c r="C8" s="6" t="inlineStr">
        <is>
          <t>Artigo</t>
        </is>
      </c>
      <c r="D8" s="27" t="inlineStr">
        <is>
          <t>Google Drive</t>
        </is>
      </c>
      <c r="E8" s="7" t="inlineStr">
        <is>
          <t>Artigos: mecanismo de envelhecimento facial</t>
        </is>
      </c>
      <c r="F8" s="7" t="inlineStr">
        <is>
          <t>Artículos: mecanismo del envejecimiento facial</t>
        </is>
      </c>
      <c r="G8" s="7" t="inlineStr">
        <is>
          <t>Krutmann 2017</t>
        </is>
      </c>
      <c r="H8" s="7" t="inlineStr">
        <is>
          <t>3+Krutmann+2017.pdf</t>
        </is>
      </c>
      <c r="I8" s="27" t="inlineStr">
        <is>
          <t>1,1 MB</t>
        </is>
      </c>
      <c r="J8" s="27" t="inlineStr">
        <is>
          <t>https://drive.google.com/file/d/1gaeyIZq9FIraDHyogy4R3SPemwV6lZzu/view</t>
        </is>
      </c>
      <c r="K8" s="27" t="n"/>
      <c r="L8" s="27" t="inlineStr">
        <is>
          <t>não</t>
        </is>
      </c>
      <c r="M8" s="8" t="inlineStr">
        <is>
          <t>NÃO</t>
        </is>
      </c>
      <c r="N8" s="27" t="inlineStr">
        <is>
          <t>1gaeyI</t>
        </is>
      </c>
      <c r="O8" s="29" t="n"/>
      <c r="P8" s="29" t="inlineStr">
        <is>
          <t>n/a</t>
        </is>
      </c>
      <c r="Q8" s="29" t="n"/>
      <c r="R8" s="29" t="n"/>
      <c r="S8" s="10" t="n"/>
    </row>
    <row r="9">
      <c r="A9" s="30" t="n">
        <v>4</v>
      </c>
      <c r="B9" s="30" t="n">
        <v>13</v>
      </c>
      <c r="C9" s="6" t="inlineStr">
        <is>
          <t>Artigo</t>
        </is>
      </c>
      <c r="D9" s="30" t="inlineStr">
        <is>
          <t>Google Drive</t>
        </is>
      </c>
      <c r="E9" s="12" t="inlineStr">
        <is>
          <t>Artigos: mecanismo de envelhecimento facial</t>
        </is>
      </c>
      <c r="F9" s="12" t="inlineStr">
        <is>
          <t>Artículos: mecanismo del envejecimiento facial</t>
        </is>
      </c>
      <c r="G9" s="12" t="inlineStr">
        <is>
          <t>Freytag 2022 · biomecânica</t>
        </is>
      </c>
      <c r="H9" s="12" t="inlineStr">
        <is>
          <t>Freytag_L_et_al_2022_Understanding_Facial_Aging.pdf</t>
        </is>
      </c>
      <c r="I9" s="30" t="inlineStr">
        <is>
          <t>795 KB</t>
        </is>
      </c>
      <c r="J9" s="30" t="inlineStr">
        <is>
          <t>https://drive.google.com/file/d/1nedzvMiWbnHCrsfiqUKZo3djmO5ryAMU/view</t>
        </is>
      </c>
      <c r="K9" s="30" t="n"/>
      <c r="L9" s="30" t="inlineStr">
        <is>
          <t>não</t>
        </is>
      </c>
      <c r="M9" s="13" t="inlineStr">
        <is>
          <t>NÃO</t>
        </is>
      </c>
      <c r="N9" s="30" t="inlineStr">
        <is>
          <t>1nedzv</t>
        </is>
      </c>
      <c r="O9" s="29" t="n"/>
      <c r="P9" s="29" t="inlineStr">
        <is>
          <t>n/a</t>
        </is>
      </c>
      <c r="Q9" s="29" t="n"/>
      <c r="R9" s="29" t="n"/>
      <c r="S9" s="10" t="n"/>
    </row>
    <row r="10">
      <c r="A10" s="27" t="n">
        <v>5</v>
      </c>
      <c r="B10" s="27" t="n">
        <v>14</v>
      </c>
      <c r="C10" s="14" t="inlineStr">
        <is>
          <t>Vídeo</t>
        </is>
      </c>
      <c r="D10" s="27" t="inlineStr">
        <is>
          <t>Google Drive</t>
        </is>
      </c>
      <c r="E10" s="7" t="inlineStr">
        <is>
          <t>Outros fatores que levam ao envelhecimento da face</t>
        </is>
      </c>
      <c r="F10" s="7" t="inlineStr">
        <is>
          <t>Otros factores que conducen al envejecimiento facial</t>
        </is>
      </c>
      <c r="G10" s="7" t="inlineStr">
        <is>
          <t>Anatomia · fisiologia do envelhecimento</t>
        </is>
      </c>
      <c r="H10" s="7" t="inlineStr">
        <is>
          <t>video 2 - fisio envelhecimento.mp4</t>
        </is>
      </c>
      <c r="I10" s="27" t="inlineStr">
        <is>
          <t>186 MB</t>
        </is>
      </c>
      <c r="J10" s="27" t="inlineStr">
        <is>
          <t>https://drive.google.com/file/d/1HwoJC-1_lPVUSta0TDL_rTCL6s-zbfPP/view</t>
        </is>
      </c>
      <c r="K10" s="27" t="n"/>
      <c r="L10" s="27" t="inlineStr">
        <is>
          <t>não</t>
        </is>
      </c>
      <c r="M10" s="15" t="inlineStr">
        <is>
          <t>SIM</t>
        </is>
      </c>
      <c r="N10" s="27" t="inlineStr">
        <is>
          <t>1HwoJC</t>
        </is>
      </c>
      <c r="O10" s="29" t="n"/>
      <c r="P10" s="29" t="inlineStr">
        <is>
          <t>pendente</t>
        </is>
      </c>
      <c r="Q10" s="29" t="n"/>
      <c r="R10" s="29" t="n"/>
      <c r="S10" s="10" t="n"/>
    </row>
    <row r="11">
      <c r="A11" s="30" t="n">
        <v>6</v>
      </c>
      <c r="B11" s="30" t="n">
        <v>15</v>
      </c>
      <c r="C11" s="6" t="inlineStr">
        <is>
          <t>Artigo</t>
        </is>
      </c>
      <c r="D11" s="30" t="inlineStr">
        <is>
          <t>Google Drive</t>
        </is>
      </c>
      <c r="E11" s="12" t="inlineStr">
        <is>
          <t>Artigo — envelhecimento do esqueleto facial</t>
        </is>
      </c>
      <c r="F11" s="12" t="inlineStr">
        <is>
          <t>Artículo — envejecimiento del esqueleto facial</t>
        </is>
      </c>
      <c r="G11" s="12" t="inlineStr">
        <is>
          <t>Shaw 2011</t>
        </is>
      </c>
      <c r="H11" s="12" t="inlineStr">
        <is>
          <t>shaw2011.pdf</t>
        </is>
      </c>
      <c r="I11" s="30" t="inlineStr">
        <is>
          <t>2,0 MB</t>
        </is>
      </c>
      <c r="J11" s="30" t="inlineStr">
        <is>
          <t>https://drive.google.com/file/d/1hHRSweDij0lvIhV6MnfH_Z4A5bzksbls/view</t>
        </is>
      </c>
      <c r="K11" s="30" t="n"/>
      <c r="L11" s="30" t="inlineStr">
        <is>
          <t>não</t>
        </is>
      </c>
      <c r="M11" s="13" t="inlineStr">
        <is>
          <t>NÃO</t>
        </is>
      </c>
      <c r="N11" s="30" t="inlineStr">
        <is>
          <t>1hHRSw</t>
        </is>
      </c>
      <c r="O11" s="29" t="n"/>
      <c r="P11" s="29" t="inlineStr">
        <is>
          <t>n/a</t>
        </is>
      </c>
      <c r="Q11" s="29" t="n"/>
      <c r="R11" s="29" t="n"/>
      <c r="S11" s="10" t="n"/>
    </row>
    <row r="12">
      <c r="A12" s="27" t="n">
        <v>7</v>
      </c>
      <c r="B12" s="27" t="n">
        <v>17</v>
      </c>
      <c r="C12" s="6" t="inlineStr">
        <is>
          <t>Artigo</t>
        </is>
      </c>
      <c r="D12" s="27" t="inlineStr">
        <is>
          <t>Google Drive</t>
        </is>
      </c>
      <c r="E12" s="7" t="inlineStr">
        <is>
          <t>Artigo — compartimentos de gordura</t>
        </is>
      </c>
      <c r="F12" s="7" t="inlineStr">
        <is>
          <t>Artículo — compartimentos grasos</t>
        </is>
      </c>
      <c r="G12" s="7" t="inlineStr">
        <is>
          <t>Gierloff 2012</t>
        </is>
      </c>
      <c r="H12" s="7" t="inlineStr">
        <is>
          <t>gierloff2012.pdf</t>
        </is>
      </c>
      <c r="I12" s="27" t="inlineStr">
        <is>
          <t>456 KB</t>
        </is>
      </c>
      <c r="J12" s="27" t="inlineStr">
        <is>
          <t>https://drive.google.com/file/d/1EZrxsmfLnASki1Xw-pj8mnOu2UE-2wED/view</t>
        </is>
      </c>
      <c r="K12" s="27" t="n"/>
      <c r="L12" s="27" t="inlineStr">
        <is>
          <t>não</t>
        </is>
      </c>
      <c r="M12" s="8" t="inlineStr">
        <is>
          <t>NÃO</t>
        </is>
      </c>
      <c r="N12" s="27" t="inlineStr">
        <is>
          <t>1EZrxs</t>
        </is>
      </c>
      <c r="O12" s="29" t="n"/>
      <c r="P12" s="29" t="inlineStr">
        <is>
          <t>n/a</t>
        </is>
      </c>
      <c r="Q12" s="29" t="n"/>
      <c r="R12" s="29" t="n"/>
      <c r="S12" s="10" t="n"/>
    </row>
    <row r="13">
      <c r="A13" s="30" t="n">
        <v>8</v>
      </c>
      <c r="B13" s="30" t="n">
        <v>18</v>
      </c>
      <c r="C13" s="6" t="inlineStr">
        <is>
          <t>Artigo</t>
        </is>
      </c>
      <c r="D13" s="30" t="inlineStr">
        <is>
          <t>Google Drive</t>
        </is>
      </c>
      <c r="E13" s="12" t="inlineStr">
        <is>
          <t>Livro AFE</t>
        </is>
      </c>
      <c r="F13" s="12" t="inlineStr">
        <is>
          <t>Libro AFE</t>
        </is>
      </c>
      <c r="G13" s="12" t="inlineStr">
        <is>
          <t>Atlas · anatomia facial</t>
        </is>
      </c>
      <c r="H13" s="12" t="inlineStr">
        <is>
          <t>APznzaZrSXQ1h-hy-YqrVEpYOw4YIiN1n4lN…pdf  ⚠ renomear</t>
        </is>
      </c>
      <c r="I13" s="30" t="inlineStr">
        <is>
          <t>94 MB</t>
        </is>
      </c>
      <c r="J13" s="30" t="inlineStr">
        <is>
          <t>https://drive.google.com/file/d/1KMqjjp5S5Vxe-x6dL3VFzyd3h2zL0TYa/view</t>
        </is>
      </c>
      <c r="K13" s="30" t="n"/>
      <c r="L13" s="34" t="inlineStr">
        <is>
          <t>SIM</t>
        </is>
      </c>
      <c r="M13" s="13" t="inlineStr">
        <is>
          <t>NÃO</t>
        </is>
      </c>
      <c r="N13" s="30" t="inlineStr">
        <is>
          <t>1KMqjj</t>
        </is>
      </c>
      <c r="O13" s="29" t="n"/>
      <c r="P13" s="29" t="inlineStr">
        <is>
          <t>n/a</t>
        </is>
      </c>
      <c r="Q13" s="29" t="n"/>
      <c r="R13" s="29" t="n"/>
      <c r="S13" s="10" t="inlineStr">
        <is>
          <t>Nome de arquivo ilegível — renomear no Drive</t>
        </is>
      </c>
    </row>
    <row r="14">
      <c r="A14" s="27" t="n">
        <v>9</v>
      </c>
      <c r="B14" s="27" t="n">
        <v>20</v>
      </c>
      <c r="C14" s="14" t="inlineStr">
        <is>
          <t>Vídeo</t>
        </is>
      </c>
      <c r="D14" s="27" t="inlineStr">
        <is>
          <t>Google Drive</t>
        </is>
      </c>
      <c r="E14" s="7" t="inlineStr">
        <is>
          <t>Anatomia no cadáver — revisão completa</t>
        </is>
      </c>
      <c r="F14" s="7" t="inlineStr">
        <is>
          <t>Anatomía en cadáver — revisión completa</t>
        </is>
      </c>
      <c r="G14" s="7" t="inlineStr">
        <is>
          <t>Anatomia · dissecção</t>
        </is>
      </c>
      <c r="H14" s="7" t="inlineStr">
        <is>
          <t>ANATOMIA NO CADAVER - REVISAO COMPLETA.mp4</t>
        </is>
      </c>
      <c r="I14" s="27" t="inlineStr">
        <is>
          <t>667 MB</t>
        </is>
      </c>
      <c r="J14" s="27" t="inlineStr">
        <is>
          <t>https://drive.google.com/file/d/1zg1QC8ae2GOl4xOB5dWWArZBzKhfJHXk/view?t=30</t>
        </is>
      </c>
      <c r="K14" s="35" t="n">
        <v>30</v>
      </c>
      <c r="L14" s="27" t="inlineStr">
        <is>
          <t>não</t>
        </is>
      </c>
      <c r="M14" s="15" t="inlineStr">
        <is>
          <t>SIM</t>
        </is>
      </c>
      <c r="N14" s="27" t="inlineStr">
        <is>
          <t>1zg1QC</t>
        </is>
      </c>
      <c r="O14" s="29" t="n"/>
      <c r="P14" s="29" t="inlineStr">
        <is>
          <t>pendente</t>
        </is>
      </c>
      <c r="Q14" s="29" t="n"/>
      <c r="R14" s="29" t="n"/>
      <c r="S14" s="18" t="inlineStr">
        <is>
          <t>RECALCULAR o marcador de tempo na versão ES</t>
        </is>
      </c>
    </row>
    <row r="15">
      <c r="A15" s="30" t="n">
        <v>10</v>
      </c>
      <c r="B15" s="30" t="n">
        <v>22</v>
      </c>
      <c r="C15" s="14" t="inlineStr">
        <is>
          <t>Vídeo</t>
        </is>
      </c>
      <c r="D15" s="30" t="inlineStr">
        <is>
          <t>Google Drive</t>
        </is>
      </c>
      <c r="E15" s="12" t="inlineStr">
        <is>
          <t>O que é SOOF?</t>
        </is>
      </c>
      <c r="F15" s="12" t="inlineStr">
        <is>
          <t>¿Qué es la SOOF?</t>
        </is>
      </c>
      <c r="G15" s="12" t="inlineStr">
        <is>
          <t>Anatomia · compartimentos grasos</t>
        </is>
      </c>
      <c r="H15" s="12" t="inlineStr">
        <is>
          <t>O QUE É O SOOF.mp4</t>
        </is>
      </c>
      <c r="I15" s="30" t="inlineStr">
        <is>
          <t>72 MB</t>
        </is>
      </c>
      <c r="J15" s="30" t="inlineStr">
        <is>
          <t>https://drive.google.com/file/d/1OmShQSqAWbdBPSBzhcjjnEGw0bh_XUbT/view</t>
        </is>
      </c>
      <c r="K15" s="30" t="n"/>
      <c r="L15" s="30" t="inlineStr">
        <is>
          <t>não</t>
        </is>
      </c>
      <c r="M15" s="19" t="inlineStr">
        <is>
          <t>SIM</t>
        </is>
      </c>
      <c r="N15" s="30" t="inlineStr">
        <is>
          <t>1OmShQ</t>
        </is>
      </c>
      <c r="O15" s="29" t="n"/>
      <c r="P15" s="29" t="inlineStr">
        <is>
          <t>pendente</t>
        </is>
      </c>
      <c r="Q15" s="29" t="n"/>
      <c r="R15" s="29" t="n"/>
      <c r="S15" s="10" t="n"/>
    </row>
    <row r="16">
      <c r="A16" s="27" t="n">
        <v>11</v>
      </c>
      <c r="B16" s="27" t="n">
        <v>25</v>
      </c>
      <c r="C16" s="6" t="inlineStr">
        <is>
          <t>Artigo</t>
        </is>
      </c>
      <c r="D16" s="27" t="inlineStr">
        <is>
          <t>Google Drive</t>
        </is>
      </c>
      <c r="E16" s="7" t="inlineStr">
        <is>
          <t>Livro AFE (repete pág. 18)</t>
        </is>
      </c>
      <c r="F16" s="7" t="inlineStr">
        <is>
          <t>Libro AFE (repite pág. 18)</t>
        </is>
      </c>
      <c r="G16" s="7" t="inlineStr">
        <is>
          <t>Atlas · anatomia facial</t>
        </is>
      </c>
      <c r="H16" s="7" t="inlineStr">
        <is>
          <t>APznzaZrSXQ1h-hy-YqrVEpYOw4YIiN1n4lN…pdf  ⚠ renomear</t>
        </is>
      </c>
      <c r="I16" s="27" t="inlineStr">
        <is>
          <t>94 MB</t>
        </is>
      </c>
      <c r="J16" s="27" t="inlineStr">
        <is>
          <t>https://drive.google.com/file/d/1KMqjjp5S5Vxe-x6dL3VFzyd3h2zL0TYa/view</t>
        </is>
      </c>
      <c r="K16" s="27" t="n"/>
      <c r="L16" s="33" t="inlineStr">
        <is>
          <t>SIM</t>
        </is>
      </c>
      <c r="M16" s="8" t="inlineStr">
        <is>
          <t>NÃO</t>
        </is>
      </c>
      <c r="N16" s="27" t="inlineStr">
        <is>
          <t>1KMqjj</t>
        </is>
      </c>
      <c r="O16" s="29" t="n"/>
      <c r="P16" s="29" t="inlineStr">
        <is>
          <t>n/a</t>
        </is>
      </c>
      <c r="Q16" s="29" t="n"/>
      <c r="R16" s="29" t="n"/>
      <c r="S16" s="10" t="inlineStr">
        <is>
          <t>Nome de arquivo ilegível — renomear no Drive</t>
        </is>
      </c>
    </row>
    <row r="17">
      <c r="A17" s="30" t="n">
        <v>12</v>
      </c>
      <c r="B17" s="30" t="n">
        <v>28</v>
      </c>
      <c r="C17" s="14" t="inlineStr">
        <is>
          <t>Vídeo</t>
        </is>
      </c>
      <c r="D17" s="30" t="inlineStr">
        <is>
          <t>Google Drive</t>
        </is>
      </c>
      <c r="E17" s="12" t="inlineStr">
        <is>
          <t>PT 2. Anatomia dos ligamentos verdadeiros e falsos</t>
        </is>
      </c>
      <c r="F17" s="12" t="inlineStr">
        <is>
          <t>PT 2. Anatomía de los ligamentos verdaderos y falsos</t>
        </is>
      </c>
      <c r="G17" s="12" t="inlineStr">
        <is>
          <t>Anatomia · ligamentos retentores</t>
        </is>
      </c>
      <c r="H17" s="12" t="inlineStr">
        <is>
          <t>pt2. ANATOMIA DOS LIGAMENTOS RETENTORES.mp4</t>
        </is>
      </c>
      <c r="I17" s="30" t="inlineStr">
        <is>
          <t>554 MB</t>
        </is>
      </c>
      <c r="J17" s="30" t="inlineStr">
        <is>
          <t>https://drive.google.com/file/d/1is3EUbeHVE3KDhhZsX_LG6koR6uGZY31/view</t>
        </is>
      </c>
      <c r="K17" s="30" t="n"/>
      <c r="L17" s="30" t="inlineStr">
        <is>
          <t>não</t>
        </is>
      </c>
      <c r="M17" s="19" t="inlineStr">
        <is>
          <t>SIM</t>
        </is>
      </c>
      <c r="N17" s="30" t="inlineStr">
        <is>
          <t>1is3EU</t>
        </is>
      </c>
      <c r="O17" s="29" t="n"/>
      <c r="P17" s="29" t="inlineStr">
        <is>
          <t>pendente</t>
        </is>
      </c>
      <c r="Q17" s="29" t="n"/>
      <c r="R17" s="29" t="n"/>
      <c r="S17" s="10" t="n"/>
    </row>
    <row r="18">
      <c r="A18" s="27" t="n">
        <v>13</v>
      </c>
      <c r="B18" s="27" t="n">
        <v>30</v>
      </c>
      <c r="C18" s="6" t="inlineStr">
        <is>
          <t>Artigo</t>
        </is>
      </c>
      <c r="D18" s="27" t="inlineStr">
        <is>
          <t>Google Drive</t>
        </is>
      </c>
      <c r="E18" s="7" t="inlineStr">
        <is>
          <t>Livro AFE (repete pág. 18)</t>
        </is>
      </c>
      <c r="F18" s="7" t="inlineStr">
        <is>
          <t>Libro AFE (repite pág. 18)</t>
        </is>
      </c>
      <c r="G18" s="7" t="inlineStr">
        <is>
          <t>Atlas · anatomia facial</t>
        </is>
      </c>
      <c r="H18" s="7" t="inlineStr">
        <is>
          <t>APznzaZrSXQ1h-hy-YqrVEpYOw4YIiN1n4lN…pdf  ⚠ renomear</t>
        </is>
      </c>
      <c r="I18" s="27" t="inlineStr">
        <is>
          <t>94 MB</t>
        </is>
      </c>
      <c r="J18" s="27" t="inlineStr">
        <is>
          <t>https://drive.google.com/file/d/1KMqjjp5S5Vxe-x6dL3VFzyd3h2zL0TYa/view</t>
        </is>
      </c>
      <c r="K18" s="27" t="n"/>
      <c r="L18" s="33" t="inlineStr">
        <is>
          <t>SIM</t>
        </is>
      </c>
      <c r="M18" s="8" t="inlineStr">
        <is>
          <t>NÃO</t>
        </is>
      </c>
      <c r="N18" s="27" t="inlineStr">
        <is>
          <t>1KMqjj</t>
        </is>
      </c>
      <c r="O18" s="29" t="n"/>
      <c r="P18" s="29" t="inlineStr">
        <is>
          <t>n/a</t>
        </is>
      </c>
      <c r="Q18" s="29" t="n"/>
      <c r="R18" s="29" t="n"/>
      <c r="S18" s="10" t="inlineStr">
        <is>
          <t>Nome de arquivo ilegível — renomear no Drive</t>
        </is>
      </c>
    </row>
    <row r="19">
      <c r="A19" s="30" t="n">
        <v>14</v>
      </c>
      <c r="B19" s="30" t="n">
        <v>34</v>
      </c>
      <c r="C19" s="14" t="inlineStr">
        <is>
          <t>Vídeo</t>
        </is>
      </c>
      <c r="D19" s="30" t="inlineStr">
        <is>
          <t>Google Drive</t>
        </is>
      </c>
      <c r="E19" s="12" t="inlineStr">
        <is>
          <t>PT 1. Anatomia dos ligamentos verdadeiros e falsos</t>
        </is>
      </c>
      <c r="F19" s="12" t="inlineStr">
        <is>
          <t>PT 1. Anatomía de los ligamentos verdaderos y falsos</t>
        </is>
      </c>
      <c r="G19" s="12" t="inlineStr">
        <is>
          <t>Anatomia · ligamentos retentores</t>
        </is>
      </c>
      <c r="H19" s="12" t="inlineStr">
        <is>
          <t>pt 1. anatomia dos liagamentos verdadeiros e falsos.mp4</t>
        </is>
      </c>
      <c r="I19" s="30" t="inlineStr">
        <is>
          <t>322 MB</t>
        </is>
      </c>
      <c r="J19" s="30" t="inlineStr">
        <is>
          <t>https://drive.google.com/file/d/1PwikjaqDastNx9AR9pqqH-OHxGqWHM7g/view</t>
        </is>
      </c>
      <c r="K19" s="30" t="n"/>
      <c r="L19" s="30" t="inlineStr">
        <is>
          <t>não</t>
        </is>
      </c>
      <c r="M19" s="19" t="inlineStr">
        <is>
          <t>SIM</t>
        </is>
      </c>
      <c r="N19" s="30" t="inlineStr">
        <is>
          <t>1Pwikj</t>
        </is>
      </c>
      <c r="O19" s="29" t="n"/>
      <c r="P19" s="29" t="inlineStr">
        <is>
          <t>pendente</t>
        </is>
      </c>
      <c r="Q19" s="29" t="n"/>
      <c r="R19" s="29" t="n"/>
      <c r="S19" s="10" t="n"/>
    </row>
    <row r="20">
      <c r="A20" s="27" t="n">
        <v>15</v>
      </c>
      <c r="B20" s="27" t="n">
        <v>42</v>
      </c>
      <c r="C20" s="6" t="inlineStr">
        <is>
          <t>Artigo</t>
        </is>
      </c>
      <c r="D20" s="27" t="inlineStr">
        <is>
          <t>Google Drive</t>
        </is>
      </c>
      <c r="E20" s="7" t="inlineStr">
        <is>
          <t>Relação entre G’ e SF</t>
        </is>
      </c>
      <c r="F20" s="7" t="inlineStr">
        <is>
          <t>Relación entre G’ y SF</t>
        </is>
      </c>
      <c r="G20" s="7" t="inlineStr">
        <is>
          <t>Reologia · de la Guardia</t>
        </is>
      </c>
      <c r="H20" s="7" t="inlineStr">
        <is>
          <t>1Rheologic_and_Physicochemical_Characteristics_of_HA.pdf</t>
        </is>
      </c>
      <c r="I20" s="27" t="inlineStr">
        <is>
          <t>1,3 MB</t>
        </is>
      </c>
      <c r="J20" s="27" t="inlineStr">
        <is>
          <t>https://drive.google.com/file/d/1AzTX83z4wetiAroor7GvT4i8jWsE1LB3/view</t>
        </is>
      </c>
      <c r="K20" s="27" t="n"/>
      <c r="L20" s="27" t="inlineStr">
        <is>
          <t>não</t>
        </is>
      </c>
      <c r="M20" s="8" t="inlineStr">
        <is>
          <t>NÃO</t>
        </is>
      </c>
      <c r="N20" s="27" t="inlineStr">
        <is>
          <t>1AzTX8</t>
        </is>
      </c>
      <c r="O20" s="29" t="n"/>
      <c r="P20" s="29" t="inlineStr">
        <is>
          <t>n/a</t>
        </is>
      </c>
      <c r="Q20" s="29" t="n"/>
      <c r="R20" s="29" t="n"/>
      <c r="S20" s="10" t="n"/>
    </row>
    <row r="21">
      <c r="A21" s="30" t="n">
        <v>16</v>
      </c>
      <c r="B21" s="30" t="n">
        <v>42</v>
      </c>
      <c r="C21" s="6" t="inlineStr">
        <is>
          <t>Artigo</t>
        </is>
      </c>
      <c r="D21" s="30" t="inlineStr">
        <is>
          <t>Google Drive</t>
        </is>
      </c>
      <c r="E21" s="12" t="inlineStr">
        <is>
          <t>Swelling factor</t>
        </is>
      </c>
      <c r="F21" s="12" t="inlineStr">
        <is>
          <t>Swelling factor</t>
        </is>
      </c>
      <c r="G21" s="12" t="inlineStr">
        <is>
          <t>Reologia · swelling factor</t>
        </is>
      </c>
      <c r="H21" s="12" t="inlineStr">
        <is>
          <t>sweeeling factor.pdf</t>
        </is>
      </c>
      <c r="I21" s="30" t="inlineStr">
        <is>
          <t>943 KB</t>
        </is>
      </c>
      <c r="J21" s="30" t="inlineStr">
        <is>
          <t>https://drive.google.com/file/d/1Bx2WTa_isjzuzG7kFRbJatKmiWwDQU5B/view</t>
        </is>
      </c>
      <c r="K21" s="30" t="n"/>
      <c r="L21" s="30" t="inlineStr">
        <is>
          <t>não</t>
        </is>
      </c>
      <c r="M21" s="13" t="inlineStr">
        <is>
          <t>NÃO</t>
        </is>
      </c>
      <c r="N21" s="30" t="inlineStr">
        <is>
          <t>1Bx2WT</t>
        </is>
      </c>
      <c r="O21" s="29" t="n"/>
      <c r="P21" s="29" t="inlineStr">
        <is>
          <t>n/a</t>
        </is>
      </c>
      <c r="Q21" s="29" t="n"/>
      <c r="R21" s="29" t="n"/>
      <c r="S21" s="10" t="n"/>
    </row>
    <row r="22">
      <c r="A22" s="27" t="n">
        <v>17</v>
      </c>
      <c r="B22" s="27" t="n">
        <v>46</v>
      </c>
      <c r="C22" s="14" t="inlineStr">
        <is>
          <t>Vídeo</t>
        </is>
      </c>
      <c r="D22" s="27" t="inlineStr">
        <is>
          <t>YouTube</t>
        </is>
      </c>
      <c r="E22" s="7" t="inlineStr">
        <is>
          <t>Reologia</t>
        </is>
      </c>
      <c r="F22" s="7" t="inlineStr">
        <is>
          <t>Reología</t>
        </is>
      </c>
      <c r="G22" s="7" t="inlineStr">
        <is>
          <t>Reologia · escolha do preenchedor</t>
        </is>
      </c>
      <c r="H22" s="7" t="inlineStr">
        <is>
          <t>(YouTube)</t>
        </is>
      </c>
      <c r="I22" s="27" t="inlineStr"/>
      <c r="J22" s="27" t="inlineStr">
        <is>
          <t>https://www.youtube.com/watch?v=E6Jr5bm__Ys</t>
        </is>
      </c>
      <c r="K22" s="27" t="n"/>
      <c r="L22" s="27" t="inlineStr">
        <is>
          <t>não</t>
        </is>
      </c>
      <c r="M22" s="15" t="inlineStr">
        <is>
          <t>SIM</t>
        </is>
      </c>
      <c r="N22" s="27" t="inlineStr">
        <is>
          <t>E6Jr5b</t>
        </is>
      </c>
      <c r="O22" s="29" t="n"/>
      <c r="P22" s="29" t="inlineStr">
        <is>
          <t>pendente</t>
        </is>
      </c>
      <c r="Q22" s="29" t="n"/>
      <c r="R22" s="29" t="n"/>
      <c r="S22" s="10" t="n"/>
    </row>
    <row r="23">
      <c r="A23" s="30" t="n">
        <v>18</v>
      </c>
      <c r="B23" s="30" t="n">
        <v>49</v>
      </c>
      <c r="C23" s="14" t="inlineStr">
        <is>
          <t>Vídeo</t>
        </is>
      </c>
      <c r="D23" s="30" t="inlineStr">
        <is>
          <t>YouTube</t>
        </is>
      </c>
      <c r="E23" s="12" t="inlineStr">
        <is>
          <t>Planejamento de preenchimento</t>
        </is>
      </c>
      <c r="F23" s="12" t="inlineStr">
        <is>
          <t>Planificación del relleno</t>
        </is>
      </c>
      <c r="G23" s="12" t="inlineStr">
        <is>
          <t>Técnica · planejamento</t>
        </is>
      </c>
      <c r="H23" s="12" t="inlineStr">
        <is>
          <t>(YouTube)</t>
        </is>
      </c>
      <c r="I23" s="30" t="inlineStr"/>
      <c r="J23" s="30" t="inlineStr">
        <is>
          <t>https://www.youtube.com/shorts/PkKmtkkbV14</t>
        </is>
      </c>
      <c r="K23" s="30" t="n"/>
      <c r="L23" s="30" t="inlineStr">
        <is>
          <t>não</t>
        </is>
      </c>
      <c r="M23" s="19" t="inlineStr">
        <is>
          <t>SIM</t>
        </is>
      </c>
      <c r="N23" s="30" t="inlineStr">
        <is>
          <t>PkKmtk</t>
        </is>
      </c>
      <c r="O23" s="29" t="n"/>
      <c r="P23" s="29" t="inlineStr">
        <is>
          <t>pendente</t>
        </is>
      </c>
      <c r="Q23" s="29" t="n"/>
      <c r="R23" s="29" t="n"/>
      <c r="S23" s="10" t="n"/>
    </row>
    <row r="24">
      <c r="A24" s="27" t="n">
        <v>19</v>
      </c>
      <c r="B24" s="27" t="n">
        <v>49</v>
      </c>
      <c r="C24" s="14" t="inlineStr">
        <is>
          <t>Vídeo</t>
        </is>
      </c>
      <c r="D24" s="27" t="inlineStr">
        <is>
          <t>YouTube</t>
        </is>
      </c>
      <c r="E24" s="7" t="inlineStr">
        <is>
          <t>Pertuitos e raciocínio clínico</t>
        </is>
      </c>
      <c r="F24" s="7" t="inlineStr">
        <is>
          <t>Pertuitos y razonamiento clínico</t>
        </is>
      </c>
      <c r="G24" s="7" t="inlineStr">
        <is>
          <t>Técnica · pertuitos</t>
        </is>
      </c>
      <c r="H24" s="7" t="inlineStr">
        <is>
          <t>(YouTube)</t>
        </is>
      </c>
      <c r="I24" s="27" t="inlineStr"/>
      <c r="J24" s="27" t="inlineStr">
        <is>
          <t>https://www.youtube.com/shorts/kbocfP1toT4</t>
        </is>
      </c>
      <c r="K24" s="27" t="n"/>
      <c r="L24" s="27" t="inlineStr">
        <is>
          <t>não</t>
        </is>
      </c>
      <c r="M24" s="15" t="inlineStr">
        <is>
          <t>SIM</t>
        </is>
      </c>
      <c r="N24" s="27" t="inlineStr">
        <is>
          <t>kbocfP</t>
        </is>
      </c>
      <c r="O24" s="29" t="n"/>
      <c r="P24" s="29" t="inlineStr">
        <is>
          <t>pendente</t>
        </is>
      </c>
      <c r="Q24" s="29" t="n"/>
      <c r="R24" s="29" t="n"/>
      <c r="S24" s="10" t="n"/>
    </row>
    <row r="25">
      <c r="A25" s="30" t="n">
        <v>20</v>
      </c>
      <c r="B25" s="30" t="n">
        <v>49</v>
      </c>
      <c r="C25" s="14" t="inlineStr">
        <is>
          <t>Vídeo</t>
        </is>
      </c>
      <c r="D25" s="30" t="inlineStr">
        <is>
          <t>YouTube</t>
        </is>
      </c>
      <c r="E25" s="12" t="inlineStr">
        <is>
          <t>Marcação dos ligamentos</t>
        </is>
      </c>
      <c r="F25" s="12" t="inlineStr">
        <is>
          <t>Marcación de los ligamentos</t>
        </is>
      </c>
      <c r="G25" s="12" t="inlineStr">
        <is>
          <t>Técnica · marcação</t>
        </is>
      </c>
      <c r="H25" s="12" t="inlineStr">
        <is>
          <t>(YouTube)</t>
        </is>
      </c>
      <c r="I25" s="30" t="inlineStr"/>
      <c r="J25" s="30" t="inlineStr">
        <is>
          <t>https://www.youtube.com/shorts/l05fBSo_5ws</t>
        </is>
      </c>
      <c r="K25" s="30" t="n"/>
      <c r="L25" s="34" t="inlineStr">
        <is>
          <t>SIM</t>
        </is>
      </c>
      <c r="M25" s="19" t="inlineStr">
        <is>
          <t>SIM</t>
        </is>
      </c>
      <c r="N25" s="30" t="inlineStr">
        <is>
          <t>l05fBS</t>
        </is>
      </c>
      <c r="O25" s="29" t="n"/>
      <c r="P25" s="29" t="inlineStr">
        <is>
          <t>pendente</t>
        </is>
      </c>
      <c r="Q25" s="29" t="n"/>
      <c r="R25" s="29" t="n"/>
      <c r="S25" s="10" t="n"/>
    </row>
    <row r="26">
      <c r="A26" s="27" t="n">
        <v>21</v>
      </c>
      <c r="B26" s="27" t="n">
        <v>50</v>
      </c>
      <c r="C26" s="14" t="inlineStr">
        <is>
          <t>Vídeo</t>
        </is>
      </c>
      <c r="D26" s="27" t="inlineStr">
        <is>
          <t>YouTube</t>
        </is>
      </c>
      <c r="E26" s="7" t="inlineStr">
        <is>
          <t>Explicação do planejamento dos pertuitos</t>
        </is>
      </c>
      <c r="F26" s="7" t="inlineStr">
        <is>
          <t>Explicación de la planificación de los pertuitos</t>
        </is>
      </c>
      <c r="G26" s="7" t="inlineStr">
        <is>
          <t>Técnica · pertuitos</t>
        </is>
      </c>
      <c r="H26" s="7" t="inlineStr">
        <is>
          <t>(YouTube)</t>
        </is>
      </c>
      <c r="I26" s="27" t="inlineStr"/>
      <c r="J26" s="27" t="inlineStr">
        <is>
          <t>https://www.youtube.com/shorts/awa6wCo_Zl8</t>
        </is>
      </c>
      <c r="K26" s="27" t="n"/>
      <c r="L26" s="27" t="inlineStr">
        <is>
          <t>não</t>
        </is>
      </c>
      <c r="M26" s="15" t="inlineStr">
        <is>
          <t>SIM</t>
        </is>
      </c>
      <c r="N26" s="27" t="inlineStr">
        <is>
          <t>awa6wC</t>
        </is>
      </c>
      <c r="O26" s="29" t="n"/>
      <c r="P26" s="29" t="inlineStr">
        <is>
          <t>pendente</t>
        </is>
      </c>
      <c r="Q26" s="29" t="n"/>
      <c r="R26" s="29" t="n"/>
      <c r="S26" s="10" t="n"/>
    </row>
    <row r="27">
      <c r="A27" s="30" t="n">
        <v>22</v>
      </c>
      <c r="B27" s="30" t="n">
        <v>51</v>
      </c>
      <c r="C27" s="14" t="inlineStr">
        <is>
          <t>Vídeo</t>
        </is>
      </c>
      <c r="D27" s="30" t="inlineStr">
        <is>
          <t>YouTube</t>
        </is>
      </c>
      <c r="E27" s="12" t="inlineStr">
        <is>
          <t>Primeiro pertuito</t>
        </is>
      </c>
      <c r="F27" s="12" t="inlineStr">
        <is>
          <t>Primer pertuito</t>
        </is>
      </c>
      <c r="G27" s="12" t="inlineStr">
        <is>
          <t>Técnica · pertuitos</t>
        </is>
      </c>
      <c r="H27" s="12" t="inlineStr">
        <is>
          <t>(YouTube)</t>
        </is>
      </c>
      <c r="I27" s="30" t="inlineStr"/>
      <c r="J27" s="30" t="inlineStr">
        <is>
          <t>https://www.youtube.com/watch?v=63nh2AQiAtA</t>
        </is>
      </c>
      <c r="K27" s="30" t="n"/>
      <c r="L27" s="34" t="inlineStr">
        <is>
          <t>SIM</t>
        </is>
      </c>
      <c r="M27" s="19" t="inlineStr">
        <is>
          <t>SIM</t>
        </is>
      </c>
      <c r="N27" s="30" t="inlineStr">
        <is>
          <t>63nh2A</t>
        </is>
      </c>
      <c r="O27" s="29" t="n"/>
      <c r="P27" s="29" t="inlineStr">
        <is>
          <t>pendente</t>
        </is>
      </c>
      <c r="Q27" s="29" t="n"/>
      <c r="R27" s="29" t="n"/>
      <c r="S27" s="10" t="n"/>
    </row>
    <row r="28">
      <c r="A28" s="27" t="n">
        <v>23</v>
      </c>
      <c r="B28" s="27" t="n">
        <v>51</v>
      </c>
      <c r="C28" s="14" t="inlineStr">
        <is>
          <t>Vídeo</t>
        </is>
      </c>
      <c r="D28" s="27" t="inlineStr">
        <is>
          <t>YouTube</t>
        </is>
      </c>
      <c r="E28" s="7" t="inlineStr">
        <is>
          <t>Segundo pertuito</t>
        </is>
      </c>
      <c r="F28" s="7" t="inlineStr">
        <is>
          <t>Segundo pertuito</t>
        </is>
      </c>
      <c r="G28" s="7" t="inlineStr">
        <is>
          <t>Técnica · pertuitos</t>
        </is>
      </c>
      <c r="H28" s="7" t="inlineStr">
        <is>
          <t>(YouTube)</t>
        </is>
      </c>
      <c r="I28" s="27" t="inlineStr"/>
      <c r="J28" s="27" t="inlineStr">
        <is>
          <t>https://www.youtube.com/watch?v=GX9u2yyem7E</t>
        </is>
      </c>
      <c r="K28" s="27" t="n"/>
      <c r="L28" s="27" t="inlineStr">
        <is>
          <t>não</t>
        </is>
      </c>
      <c r="M28" s="15" t="inlineStr">
        <is>
          <t>SIM</t>
        </is>
      </c>
      <c r="N28" s="27" t="inlineStr">
        <is>
          <t>GX9u2y</t>
        </is>
      </c>
      <c r="O28" s="29" t="n"/>
      <c r="P28" s="29" t="inlineStr">
        <is>
          <t>pendente</t>
        </is>
      </c>
      <c r="Q28" s="29" t="n"/>
      <c r="R28" s="29" t="n"/>
      <c r="S28" s="10" t="n"/>
    </row>
    <row r="29">
      <c r="A29" s="30" t="n">
        <v>24</v>
      </c>
      <c r="B29" s="30" t="n">
        <v>52</v>
      </c>
      <c r="C29" s="14" t="inlineStr">
        <is>
          <t>Vídeo</t>
        </is>
      </c>
      <c r="D29" s="30" t="inlineStr">
        <is>
          <t>YouTube</t>
        </is>
      </c>
      <c r="E29" s="12" t="inlineStr">
        <is>
          <t>Terceiro e quarto pertuito</t>
        </is>
      </c>
      <c r="F29" s="12" t="inlineStr">
        <is>
          <t>Tercer y cuarto pertuito</t>
        </is>
      </c>
      <c r="G29" s="12" t="inlineStr">
        <is>
          <t>Técnica · pertuitos</t>
        </is>
      </c>
      <c r="H29" s="12" t="inlineStr">
        <is>
          <t>(YouTube)</t>
        </is>
      </c>
      <c r="I29" s="30" t="inlineStr"/>
      <c r="J29" s="30" t="inlineStr">
        <is>
          <t>https://www.youtube.com/watch?v=FHyZ4Ee_q1E</t>
        </is>
      </c>
      <c r="K29" s="30" t="n"/>
      <c r="L29" s="30" t="inlineStr">
        <is>
          <t>não</t>
        </is>
      </c>
      <c r="M29" s="19" t="inlineStr">
        <is>
          <t>SIM</t>
        </is>
      </c>
      <c r="N29" s="30" t="inlineStr">
        <is>
          <t>FHyZ4E</t>
        </is>
      </c>
      <c r="O29" s="29" t="n"/>
      <c r="P29" s="29" t="inlineStr">
        <is>
          <t>pendente</t>
        </is>
      </c>
      <c r="Q29" s="29" t="n"/>
      <c r="R29" s="29" t="n"/>
      <c r="S29" s="10" t="n"/>
    </row>
    <row r="30">
      <c r="A30" s="27" t="n">
        <v>25</v>
      </c>
      <c r="B30" s="27" t="n">
        <v>54</v>
      </c>
      <c r="C30" s="14" t="inlineStr">
        <is>
          <t>Vídeo</t>
        </is>
      </c>
      <c r="D30" s="27" t="inlineStr">
        <is>
          <t>YouTube</t>
        </is>
      </c>
      <c r="E30" s="7" t="inlineStr">
        <is>
          <t>Demonstração do botão anestésico</t>
        </is>
      </c>
      <c r="F30" s="7" t="inlineStr">
        <is>
          <t>Demostración del botón anestésico</t>
        </is>
      </c>
      <c r="G30" s="7" t="inlineStr">
        <is>
          <t>Técnica · anestesia</t>
        </is>
      </c>
      <c r="H30" s="7" t="inlineStr">
        <is>
          <t>(YouTube)</t>
        </is>
      </c>
      <c r="I30" s="27" t="inlineStr"/>
      <c r="J30" s="27" t="inlineStr">
        <is>
          <t>https://www.youtube.com/shorts/CrQ3cQIpKpc</t>
        </is>
      </c>
      <c r="K30" s="27" t="n"/>
      <c r="L30" s="27" t="inlineStr">
        <is>
          <t>não</t>
        </is>
      </c>
      <c r="M30" s="15" t="inlineStr">
        <is>
          <t>SIM</t>
        </is>
      </c>
      <c r="N30" s="27" t="inlineStr">
        <is>
          <t>CrQ3cQ</t>
        </is>
      </c>
      <c r="O30" s="29" t="n"/>
      <c r="P30" s="29" t="inlineStr">
        <is>
          <t>pendente</t>
        </is>
      </c>
      <c r="Q30" s="29" t="n"/>
      <c r="R30" s="29" t="n"/>
      <c r="S30" s="10" t="n"/>
    </row>
    <row r="31">
      <c r="A31" s="30" t="n">
        <v>26</v>
      </c>
      <c r="B31" s="30" t="n">
        <v>57</v>
      </c>
      <c r="C31" s="14" t="inlineStr">
        <is>
          <t>Vídeo</t>
        </is>
      </c>
      <c r="D31" s="30" t="inlineStr">
        <is>
          <t>YouTube</t>
        </is>
      </c>
      <c r="E31" s="12" t="inlineStr">
        <is>
          <t>Técnica completa / raciocínio clínico</t>
        </is>
      </c>
      <c r="F31" s="12" t="inlineStr">
        <is>
          <t>Técnica completa / razonamiento clínico</t>
        </is>
      </c>
      <c r="G31" s="12" t="inlineStr">
        <is>
          <t>Técnica · caso clínico</t>
        </is>
      </c>
      <c r="H31" s="12" t="inlineStr">
        <is>
          <t>(YouTube)</t>
        </is>
      </c>
      <c r="I31" s="30" t="inlineStr"/>
      <c r="J31" s="30" t="inlineStr">
        <is>
          <t>https://www.youtube.com/shorts/_UvdKBkx3dU</t>
        </is>
      </c>
      <c r="K31" s="30" t="n"/>
      <c r="L31" s="30" t="inlineStr">
        <is>
          <t>não</t>
        </is>
      </c>
      <c r="M31" s="19" t="inlineStr">
        <is>
          <t>SIM</t>
        </is>
      </c>
      <c r="N31" s="30" t="inlineStr">
        <is>
          <t>_UvdKB</t>
        </is>
      </c>
      <c r="O31" s="29" t="n"/>
      <c r="P31" s="29" t="inlineStr">
        <is>
          <t>pendente</t>
        </is>
      </c>
      <c r="Q31" s="29" t="n"/>
      <c r="R31" s="29" t="n"/>
      <c r="S31" s="10" t="n"/>
    </row>
    <row r="32">
      <c r="A32" s="27" t="n">
        <v>27</v>
      </c>
      <c r="B32" s="27" t="n">
        <v>57</v>
      </c>
      <c r="C32" s="14" t="inlineStr">
        <is>
          <t>Vídeo</t>
        </is>
      </c>
      <c r="D32" s="27" t="inlineStr">
        <is>
          <t>YouTube</t>
        </is>
      </c>
      <c r="E32" s="7" t="inlineStr">
        <is>
          <t>Marcação dos ligamentos (repete pág. 49)</t>
        </is>
      </c>
      <c r="F32" s="7" t="inlineStr">
        <is>
          <t>Marcación de los ligamentos (repite pág. 49)</t>
        </is>
      </c>
      <c r="G32" s="7" t="inlineStr">
        <is>
          <t>Técnica · marcação</t>
        </is>
      </c>
      <c r="H32" s="7" t="inlineStr">
        <is>
          <t>(YouTube)</t>
        </is>
      </c>
      <c r="I32" s="27" t="inlineStr"/>
      <c r="J32" s="27" t="inlineStr">
        <is>
          <t>https://www.youtube.com/shorts/l05fBSo_5ws</t>
        </is>
      </c>
      <c r="K32" s="27" t="n"/>
      <c r="L32" s="33" t="inlineStr">
        <is>
          <t>SIM</t>
        </is>
      </c>
      <c r="M32" s="15" t="inlineStr">
        <is>
          <t>SIM</t>
        </is>
      </c>
      <c r="N32" s="27" t="inlineStr">
        <is>
          <t>l05fBS</t>
        </is>
      </c>
      <c r="O32" s="29" t="n"/>
      <c r="P32" s="29" t="inlineStr">
        <is>
          <t>pendente</t>
        </is>
      </c>
      <c r="Q32" s="29" t="n"/>
      <c r="R32" s="29" t="n"/>
      <c r="S32" s="10" t="n"/>
    </row>
    <row r="33">
      <c r="A33" s="30" t="n">
        <v>28</v>
      </c>
      <c r="B33" s="30" t="n">
        <v>57</v>
      </c>
      <c r="C33" s="14" t="inlineStr">
        <is>
          <t>Vídeo</t>
        </is>
      </c>
      <c r="D33" s="30" t="inlineStr">
        <is>
          <t>YouTube</t>
        </is>
      </c>
      <c r="E33" s="12" t="inlineStr">
        <is>
          <t>Primeiro pertuito (repete pág. 51)</t>
        </is>
      </c>
      <c r="F33" s="12" t="inlineStr">
        <is>
          <t>Primer pertuito (repite pág. 51)</t>
        </is>
      </c>
      <c r="G33" s="12" t="inlineStr">
        <is>
          <t>Técnica · pertuitos</t>
        </is>
      </c>
      <c r="H33" s="12" t="inlineStr">
        <is>
          <t>(YouTube)</t>
        </is>
      </c>
      <c r="I33" s="30" t="inlineStr"/>
      <c r="J33" s="30" t="inlineStr">
        <is>
          <t>https://www.youtube.com/watch?v=63nh2AQiAtA</t>
        </is>
      </c>
      <c r="K33" s="30" t="n"/>
      <c r="L33" s="34" t="inlineStr">
        <is>
          <t>SIM</t>
        </is>
      </c>
      <c r="M33" s="19" t="inlineStr">
        <is>
          <t>SIM</t>
        </is>
      </c>
      <c r="N33" s="30" t="inlineStr">
        <is>
          <t>63nh2A</t>
        </is>
      </c>
      <c r="O33" s="29" t="n"/>
      <c r="P33" s="29" t="inlineStr">
        <is>
          <t>pendente</t>
        </is>
      </c>
      <c r="Q33" s="29" t="n"/>
      <c r="R33" s="29" t="n"/>
      <c r="S33" s="10" t="n"/>
    </row>
    <row r="34">
      <c r="A34" s="27" t="n">
        <v>29</v>
      </c>
      <c r="B34" s="27" t="n">
        <v>58</v>
      </c>
      <c r="C34" s="6" t="inlineStr">
        <is>
          <t>Artigo</t>
        </is>
      </c>
      <c r="D34" s="27" t="inlineStr">
        <is>
          <t>Google Drive</t>
        </is>
      </c>
      <c r="E34" s="7" t="inlineStr">
        <is>
          <t>Artigo — tear trough e bolsas</t>
        </is>
      </c>
      <c r="F34" s="7" t="inlineStr">
        <is>
          <t>Artículo — tear trough y bolsas</t>
        </is>
      </c>
      <c r="G34" s="7" t="inlineStr">
        <is>
          <t>Kato 2022 · JOCD</t>
        </is>
      </c>
      <c r="H34" s="7" t="inlineStr">
        <is>
          <t>JOCD-22-439.pdf</t>
        </is>
      </c>
      <c r="I34" s="27" t="inlineStr">
        <is>
          <t>9,7 MB</t>
        </is>
      </c>
      <c r="J34" s="27" t="inlineStr">
        <is>
          <t>https://drive.google.com/file/d/1_hzAqkbwOV5hdJL__os_-2jS16KYEWh1/view</t>
        </is>
      </c>
      <c r="K34" s="27" t="n"/>
      <c r="L34" s="27" t="inlineStr">
        <is>
          <t>não</t>
        </is>
      </c>
      <c r="M34" s="8" t="inlineStr">
        <is>
          <t>NÃO</t>
        </is>
      </c>
      <c r="N34" s="27" t="inlineStr">
        <is>
          <t>1_hzAq</t>
        </is>
      </c>
      <c r="O34" s="29" t="n"/>
      <c r="P34" s="29" t="inlineStr">
        <is>
          <t>n/a</t>
        </is>
      </c>
      <c r="Q34" s="29" t="n"/>
      <c r="R34" s="29" t="n"/>
      <c r="S34" s="10" t="n"/>
    </row>
    <row r="35">
      <c r="A35" s="30" t="n">
        <v>30</v>
      </c>
      <c r="B35" s="30" t="n">
        <v>61</v>
      </c>
      <c r="C35" s="14" t="inlineStr">
        <is>
          <t>Vídeo</t>
        </is>
      </c>
      <c r="D35" s="30" t="inlineStr">
        <is>
          <t>Google Drive</t>
        </is>
      </c>
      <c r="E35" s="12" t="inlineStr">
        <is>
          <t>Hialuronidase na região orbital — caso clínico 2</t>
        </is>
      </c>
      <c r="F35" s="12" t="inlineStr">
        <is>
          <t>Hialuronidasa en la región orbitaria — caso clínico 2</t>
        </is>
      </c>
      <c r="G35" s="12" t="inlineStr">
        <is>
          <t>Intercorrências · hialuronidase</t>
        </is>
      </c>
      <c r="H35" s="12" t="inlineStr">
        <is>
          <t>Caso clínico 2 - Hialuronidase.mp4</t>
        </is>
      </c>
      <c r="I35" s="30" t="inlineStr">
        <is>
          <t>4,6 GB</t>
        </is>
      </c>
      <c r="J35" s="30" t="inlineStr">
        <is>
          <t>https://drive.google.com/file/d/18J0kJ0kq_OiVoL7ExuHxsQJZG_DzysLS/view?t=1100</t>
        </is>
      </c>
      <c r="K35" s="31" t="n">
        <v>1100</v>
      </c>
      <c r="L35" s="30" t="inlineStr">
        <is>
          <t>não</t>
        </is>
      </c>
      <c r="M35" s="19" t="inlineStr">
        <is>
          <t>SIM</t>
        </is>
      </c>
      <c r="N35" s="30" t="inlineStr">
        <is>
          <t>18J0kJ</t>
        </is>
      </c>
      <c r="O35" s="29" t="n"/>
      <c r="P35" s="29" t="inlineStr">
        <is>
          <t>pendente</t>
        </is>
      </c>
      <c r="Q35" s="29" t="n"/>
      <c r="R35" s="29" t="n"/>
      <c r="S35" s="18" t="inlineStr">
        <is>
          <t>RECALCULAR o marcador de tempo na versão ES</t>
        </is>
      </c>
    </row>
    <row r="36">
      <c r="A36" s="27" t="n">
        <v>31</v>
      </c>
      <c r="B36" s="27" t="n">
        <v>61</v>
      </c>
      <c r="C36" s="14" t="inlineStr">
        <is>
          <t>Vídeo</t>
        </is>
      </c>
      <c r="D36" s="27" t="inlineStr">
        <is>
          <t>Google Drive</t>
        </is>
      </c>
      <c r="E36" s="7" t="inlineStr">
        <is>
          <t>Hialuronidase na região orbital — aula 8</t>
        </is>
      </c>
      <c r="F36" s="7" t="inlineStr">
        <is>
          <t>Hialuronidasa en la región orbitaria — clase 8</t>
        </is>
      </c>
      <c r="G36" s="7" t="inlineStr">
        <is>
          <t>Intercorrências · hialuronidase</t>
        </is>
      </c>
      <c r="H36" s="7" t="inlineStr">
        <is>
          <t>Dia 17 Aula 8.mp4</t>
        </is>
      </c>
      <c r="I36" s="27" t="inlineStr">
        <is>
          <t>1,1 GB</t>
        </is>
      </c>
      <c r="J36" s="27" t="inlineStr">
        <is>
          <t>https://drive.google.com/file/d/1o8GJ5chWVE3bAnvLYUbzfBo5Lqw7v95Z/view?t=94</t>
        </is>
      </c>
      <c r="K36" s="35" t="n">
        <v>94</v>
      </c>
      <c r="L36" s="27" t="inlineStr">
        <is>
          <t>não</t>
        </is>
      </c>
      <c r="M36" s="15" t="inlineStr">
        <is>
          <t>SIM</t>
        </is>
      </c>
      <c r="N36" s="27" t="inlineStr">
        <is>
          <t>1o8GJ5</t>
        </is>
      </c>
      <c r="O36" s="29" t="n"/>
      <c r="P36" s="29" t="inlineStr">
        <is>
          <t>pendente</t>
        </is>
      </c>
      <c r="Q36" s="29" t="n"/>
      <c r="R36" s="29" t="n"/>
      <c r="S36" s="18" t="inlineStr">
        <is>
          <t>RECALCULAR o marcador de tempo na versão ES</t>
        </is>
      </c>
    </row>
    <row r="37">
      <c r="A37" s="30" t="n">
        <v>32</v>
      </c>
      <c r="B37" s="30" t="n">
        <v>64</v>
      </c>
      <c r="C37" s="14" t="inlineStr">
        <is>
          <t>Vídeo</t>
        </is>
      </c>
      <c r="D37" s="30" t="inlineStr">
        <is>
          <t>Google Drive</t>
        </is>
      </c>
      <c r="E37" s="12" t="inlineStr">
        <is>
          <t>Raciocínio clínico para evitar irregularidades e relevo</t>
        </is>
      </c>
      <c r="F37" s="12" t="inlineStr">
        <is>
          <t>Razonamiento clínico para evitar irregularidades y relieve</t>
        </is>
      </c>
      <c r="G37" s="12" t="inlineStr">
        <is>
          <t>Intercorrências · irregularidades</t>
        </is>
      </c>
      <c r="H37" s="12" t="inlineStr">
        <is>
          <t>RACIOCIONIO POR TRAZ DO PREENCHIMENTO.mp4</t>
        </is>
      </c>
      <c r="I37" s="30" t="inlineStr">
        <is>
          <t>221 MB</t>
        </is>
      </c>
      <c r="J37" s="30" t="inlineStr">
        <is>
          <t>https://drive.google.com/file/d/1cKZXapLdvwJ-YPATGMQPOBvqyX9mrn2L/view?t=164</t>
        </is>
      </c>
      <c r="K37" s="31" t="n">
        <v>164</v>
      </c>
      <c r="L37" s="30" t="inlineStr">
        <is>
          <t>não</t>
        </is>
      </c>
      <c r="M37" s="19" t="inlineStr">
        <is>
          <t>SIM</t>
        </is>
      </c>
      <c r="N37" s="30" t="inlineStr">
        <is>
          <t>1cKZXa</t>
        </is>
      </c>
      <c r="O37" s="29" t="n"/>
      <c r="P37" s="29" t="inlineStr">
        <is>
          <t>pendente</t>
        </is>
      </c>
      <c r="Q37" s="29" t="n"/>
      <c r="R37" s="29" t="n"/>
      <c r="S37" s="18" t="inlineStr">
        <is>
          <t>RECALCULAR o marcador de tempo na versão ES</t>
        </is>
      </c>
    </row>
    <row r="38"/>
    <row r="39">
      <c r="A39" s="22" t="inlineStr">
        <is>
          <t>RESUMO</t>
        </is>
      </c>
      <c r="E39" s="23" t="inlineStr">
        <is>
          <t>Fórmula</t>
        </is>
      </c>
      <c r="F39" s="23" t="inlineStr">
        <is>
          <t>Referência</t>
        </is>
      </c>
    </row>
    <row r="40">
      <c r="A40" s="24" t="inlineStr">
        <is>
          <t>TOTAL de QR no PDF</t>
        </is>
      </c>
      <c r="E40" s="25">
        <f>COUNTA(A6:A37)</f>
        <v/>
      </c>
      <c r="F40" s="26" t="n">
        <v>32</v>
      </c>
    </row>
    <row r="41">
      <c r="A41" s="24" t="inlineStr">
        <is>
          <t>QR de VÍDEO — precisam ser regerados</t>
        </is>
      </c>
      <c r="E41" s="25">
        <f>COUNTIF(M6:M37,"SIM")</f>
        <v/>
      </c>
      <c r="F41" s="26" t="n">
        <v>20</v>
      </c>
    </row>
    <row r="42">
      <c r="A42" s="24" t="inlineStr">
        <is>
          <t>QR de ARTIGO — não mudam</t>
        </is>
      </c>
      <c r="E42" s="25">
        <f>COUNTIF(M6:M37,"NÃO")</f>
        <v/>
      </c>
      <c r="F42" s="26" t="n">
        <v>12</v>
      </c>
    </row>
    <row r="43">
      <c r="A43" s="24" t="inlineStr">
        <is>
          <t>Vídeos ÚNICOS a produzir (QR menos repetições)</t>
        </is>
      </c>
      <c r="E43" s="25">
        <f>COUNTIF(M6:M37,"SIM")-COUNTIFS(M6:M37,"SIM",L6:L37,"SIM")+2</f>
        <v/>
      </c>
      <c r="F43" s="26" t="n">
        <v>18</v>
      </c>
    </row>
    <row r="44">
      <c r="A44" s="24" t="inlineStr">
        <is>
          <t>Com marcador de tempo — recalcular</t>
        </is>
      </c>
      <c r="E44" s="25">
        <f>COUNT(K6:K37)</f>
        <v/>
      </c>
      <c r="F44" s="26" t="n">
        <v>4</v>
      </c>
    </row>
    <row r="45">
      <c r="A45" s="24" t="inlineStr">
        <is>
          <t>Vídeos prontos em ES</t>
        </is>
      </c>
      <c r="E45" s="25">
        <f>COUNTIF(P6:P37,"pronto")</f>
        <v/>
      </c>
      <c r="F45" s="26" t="n">
        <v>0</v>
      </c>
    </row>
    <row r="46">
      <c r="A46" s="24" t="inlineStr">
        <is>
          <t>Vídeos pendentes</t>
        </is>
      </c>
      <c r="E46" s="25">
        <f>COUNTIF(P6:P37,"pendente")</f>
        <v/>
      </c>
      <c r="F46" s="26" t="n">
        <v>20</v>
      </c>
    </row>
    <row r="48">
      <c r="A48" s="2" t="inlineStr">
        <is>
          <t>Coluna «Fórmula» recalcula ao mudar o Status; aparece vazia até abrir no Excel ou Google Sheets. Coluna «Referência» é o valor conferido em 21/08/2026.</t>
        </is>
      </c>
    </row>
    <row r="49">
      <c r="A49" s="2" t="inlineStr">
        <is>
          <t>Status: use exatamente pendente · em produção · pronto</t>
        </is>
      </c>
    </row>
    <row r="51">
      <c r="A51" s="47" t="inlineStr">
        <is>
          <t>Observações técnicas concentradas nesta aba</t>
        </is>
      </c>
    </row>
    <row r="52" ht="26" customHeight="1">
      <c r="A52" s="48" t="inlineStr">
        <is>
          <t>• Marcador t=: 4 links abrem o vídeo num ponto específico (pág. 20, 61 duas vezes e 64). Recalcular se a versão ES tiver corte diferente.</t>
        </is>
      </c>
    </row>
    <row r="53" ht="26" customHeight="1">
      <c r="A53" s="48" t="inlineStr">
        <is>
          <t>• Repetidos: 2 vídeos são chamados de duas páginas cada (pág. 49 e 57; pág. 51 e 57). São 20 QR de vídeo, mas 18 vídeos únicos.</t>
        </is>
      </c>
    </row>
    <row r="54" ht="26" customHeight="1">
      <c r="A54" s="48" t="inlineStr">
        <is>
          <t>• O QR é imagem: trocar o link não muda o QR. A imagem tem de ser regerada e substituída na arte, e conferida escaneando com o celular.</t>
        </is>
      </c>
    </row>
    <row r="55" ht="26" customHeight="1">
      <c r="A55" s="48" t="inlineStr">
        <is>
          <t>• Artigos: os 12 QR de artigo científico permanecem em inglês e não mudam.</t>
        </is>
      </c>
    </row>
    <row r="56" ht="26" customHeight="1">
      <c r="A56" s="48" t="inlineStr">
        <is>
          <t>• Arquivo das pág. 18, 25 e 30 está salvo com nome gerado automaticamente, ilegível — vale renomear no Drive.</t>
        </is>
      </c>
    </row>
    <row r="57" ht="26" customHeight="1">
      <c r="A57" s="48" t="inlineStr">
        <is>
          <t>• A aba «Só traduzir» é a lista limpa para o editor, sem repetições e sem estas observações.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2026-08-21T23:36:50Z</dcterms:created>
  <dcterms:modified xmlns:dcterms="http://purl.org/dc/terms/" xmlns:xsi="http://www.w3.org/2001/XMLSchema-instance" xsi:type="dcterms:W3CDTF">2026-08-21T23:45:12Z</dcterms:modified>
</cp:coreProperties>
</file>