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Vídeos a traduzir" sheetId="2" state="visible" r:id="rId2"/>
    <sheet xmlns:r="http://schemas.openxmlformats.org/officeDocument/2006/relationships" name="Ativos únicos" sheetId="3" state="visible" r:id="rId3"/>
    <sheet xmlns:r="http://schemas.openxmlformats.org/officeDocument/2006/relationships" name="Artigos (não traduzir)" sheetId="4" state="visible" r:id="rId4"/>
    <sheet xmlns:r="http://schemas.openxmlformats.org/officeDocument/2006/relationships" name="Legend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C00000"/>
      <sz val="10"/>
    </font>
    <font>
      <name val="Arial"/>
      <b val="1"/>
      <color rgb="00C00000"/>
      <sz val="9"/>
    </font>
    <font>
      <name val="Arial"/>
      <b val="1"/>
      <color rgb="001F7A1F"/>
      <sz val="10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sz val="10"/>
    </font>
    <font>
      <name val="Arial"/>
      <color rgb="00595959"/>
      <sz val="9"/>
    </font>
    <font>
      <name val="Arial"/>
      <b val="1"/>
      <color rgb="001F3864"/>
      <sz val="13"/>
    </font>
    <font>
      <name val="Arial"/>
      <b val="1"/>
      <color rgb="001F3864"/>
      <sz val="11"/>
    </font>
    <font>
      <name val="Arial"/>
      <b val="1"/>
      <color rgb="00FFFFFF"/>
      <sz val="9"/>
    </font>
    <font>
      <name val="Arial"/>
      <b val="1"/>
      <color rgb="001F3864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8" fillId="0" borderId="1" applyAlignment="1" pivotButton="0" quotePrefix="0" xfId="0">
      <alignment horizontal="center"/>
    </xf>
    <xf numFmtId="9" fontId="8" fillId="0" borderId="1" applyAlignment="1" pivotButton="0" quotePrefix="0" xfId="0">
      <alignment horizontal="center"/>
    </xf>
    <xf numFmtId="0" fontId="3" fillId="0" borderId="0" pivotButton="0" quotePrefix="0" xfId="0"/>
    <xf numFmtId="0" fontId="9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10" fillId="0" borderId="0" pivotButton="0" quotePrefix="0" xfId="0"/>
    <xf numFmtId="0" fontId="8" fillId="0" borderId="0" pivotButton="0" quotePrefix="0" xfId="0"/>
    <xf numFmtId="0" fontId="2" fillId="0" borderId="0" applyAlignment="1" pivotButton="0" quotePrefix="0" xfId="0">
      <alignment vertical="top" wrapText="1"/>
    </xf>
    <xf numFmtId="0" fontId="11" fillId="0" borderId="0" pivotButton="0" quotePrefix="0" xfId="0"/>
    <xf numFmtId="0" fontId="2" fillId="4" borderId="1" pivotButton="0" quotePrefix="0" xfId="0"/>
    <xf numFmtId="0" fontId="12" fillId="2" borderId="0" applyAlignment="1" pivotButton="0" quotePrefix="0" xfId="0">
      <alignment horizontal="center" wrapText="1"/>
    </xf>
    <xf numFmtId="0" fontId="12" fillId="5" borderId="0" applyAlignment="1" pivotButton="0" quotePrefix="0" xfId="0">
      <alignment horizontal="center" wrapText="1"/>
    </xf>
    <xf numFmtId="0" fontId="2" fillId="0" borderId="1" applyAlignment="1" pivotButton="0" quotePrefix="0" xfId="0">
      <alignment horizontal="center"/>
    </xf>
    <xf numFmtId="9" fontId="2" fillId="0" borderId="1" applyAlignment="1" pivotButton="0" quotePrefix="0" xfId="0">
      <alignment horizontal="center"/>
    </xf>
    <xf numFmtId="0" fontId="13" fillId="0" borderId="0" pivotButton="0" quotePrefix="0" xfId="0"/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3" customWidth="1" min="3" max="3"/>
    <col width="66" customWidth="1" min="4" max="4"/>
  </cols>
  <sheetData>
    <row r="1">
      <c r="A1" s="1" t="inlineStr">
        <is>
          <t>Inventário de vídeos e QR Codes — Preenchimento Tridimensional de Olheiras</t>
        </is>
      </c>
    </row>
    <row r="2">
      <c r="A2" s="2" t="inlineStr">
        <is>
          <t>Fonte: decodificação dos 32 QR Codes do PDF (OpenCV 300/450 dpi) + classificação por mimeType real no Google Drive</t>
        </is>
      </c>
    </row>
    <row r="3" ht="26" customHeight="1">
      <c r="B3" s="22" t="inlineStr">
        <is>
          <t>Fórmula (recalcula)</t>
        </is>
      </c>
      <c r="C3" s="23" t="inlineStr">
        <is>
          <t>Valor de referência</t>
        </is>
      </c>
    </row>
    <row r="4">
      <c r="A4" s="3" t="inlineStr">
        <is>
          <t>QR Codes decodificados no PDF</t>
        </is>
      </c>
      <c r="B4" s="4">
        <f>32</f>
        <v/>
      </c>
      <c r="C4" s="24" t="n">
        <v>32</v>
      </c>
      <c r="D4" s="2" t="inlineStr">
        <is>
          <t>Ocorrências; um mesmo destino pode repetir</t>
        </is>
      </c>
    </row>
    <row r="5">
      <c r="A5" s="3" t="inlineStr">
        <is>
          <t>Destinos únicos</t>
        </is>
      </c>
      <c r="B5" s="4">
        <f>28</f>
        <v/>
      </c>
      <c r="C5" s="24" t="n">
        <v>28</v>
      </c>
      <c r="D5" s="2" t="inlineStr">
        <is>
          <t>Ocorrências menos as repetições</t>
        </is>
      </c>
    </row>
    <row r="7">
      <c r="A7" s="3" t="inlineStr">
        <is>
          <t>QR que apontam para VÍDEO</t>
        </is>
      </c>
      <c r="B7" s="4">
        <f>COUNTA('Vídeos a traduzir'!A2:A21)</f>
        <v/>
      </c>
      <c r="C7" s="24" t="n">
        <v>20</v>
      </c>
      <c r="D7" s="2" t="inlineStr">
        <is>
          <t>Cada um precisa ser REGERADO após a versão ES</t>
        </is>
      </c>
    </row>
    <row r="8">
      <c r="A8" s="3" t="inlineStr">
        <is>
          <t>Ativos de vídeo ÚNICOS a produzir</t>
        </is>
      </c>
      <c r="B8" s="4">
        <f>COUNTA('Ativos únicos'!A2:A19)</f>
        <v/>
      </c>
      <c r="C8" s="24" t="n">
        <v>18</v>
      </c>
      <c r="D8" s="2" t="inlineStr">
        <is>
          <t>Lista de produção real — menor que o nº de QR</t>
        </is>
      </c>
    </row>
    <row r="9">
      <c r="A9" s="3" t="inlineStr">
        <is>
          <t>QR que apontam para ARTIGO</t>
        </is>
      </c>
      <c r="B9" s="4">
        <f>COUNTA('Artigos (não traduzir)'!A2:A13)</f>
        <v/>
      </c>
      <c r="C9" s="24" t="n">
        <v>12</v>
      </c>
      <c r="D9" s="2" t="inlineStr">
        <is>
          <t>Permanecem em inglês; QR NÃO se altera</t>
        </is>
      </c>
    </row>
    <row r="11">
      <c r="A11" s="3" t="inlineStr">
        <is>
          <t>Vídeos no YouTube (ocorrências)</t>
        </is>
      </c>
      <c r="B11" s="4">
        <f>COUNTIF('Vídeos a traduzir'!B2:B21,"YouTube")</f>
        <v/>
      </c>
      <c r="C11" s="24" t="n">
        <v>12</v>
      </c>
    </row>
    <row r="12">
      <c r="A12" s="3" t="inlineStr">
        <is>
          <t>Vídeos no Google Drive (ocorrências)</t>
        </is>
      </c>
      <c r="B12" s="4">
        <f>COUNTIF('Vídeos a traduzir'!B2:B21,"Google Drive")</f>
        <v/>
      </c>
      <c r="C12" s="24" t="n">
        <v>8</v>
      </c>
    </row>
    <row r="13">
      <c r="A13" s="3" t="inlineStr">
        <is>
          <t>Com marcador de tempo ?t=</t>
        </is>
      </c>
      <c r="B13" s="4">
        <f>COUNT('Vídeos a traduzir'!I2:I21)</f>
        <v/>
      </c>
      <c r="C13" s="24" t="n">
        <v>4</v>
      </c>
      <c r="D13" s="2" t="inlineStr">
        <is>
          <t>ATENÇÃO: recalcular — corte diferente move o trecho</t>
        </is>
      </c>
    </row>
    <row r="14">
      <c r="A14" s="3" t="inlineStr">
        <is>
          <t>Reaproveitados em mais de uma página</t>
        </is>
      </c>
      <c r="B14" s="4">
        <f>COUNTIF('Vídeos a traduzir'!K2:K21,"SIM*")</f>
        <v/>
      </c>
      <c r="C14" s="24" t="n">
        <v>4</v>
      </c>
      <c r="D14" s="2" t="inlineStr">
        <is>
          <t>1 ativo ES atende vários QR</t>
        </is>
      </c>
    </row>
    <row r="16">
      <c r="A16" s="3" t="inlineStr">
        <is>
          <t>Ativos já prontos em ES</t>
        </is>
      </c>
      <c r="B16" s="4">
        <f>COUNTIF('Ativos únicos'!L2:L19,"pronto")</f>
        <v/>
      </c>
      <c r="C16" s="24" t="n">
        <v>0</v>
      </c>
      <c r="D16" s="2" t="inlineStr">
        <is>
          <t>Atualize a coluna Status</t>
        </is>
      </c>
    </row>
    <row r="17">
      <c r="A17" s="3" t="inlineStr">
        <is>
          <t>Ativos pendentes</t>
        </is>
      </c>
      <c r="B17" s="4">
        <f>COUNTIF('Ativos únicos'!L2:L19,"pendente")</f>
        <v/>
      </c>
      <c r="C17" s="24" t="n">
        <v>18</v>
      </c>
    </row>
    <row r="18">
      <c r="A18" s="3" t="inlineStr">
        <is>
          <t>% concluído</t>
        </is>
      </c>
      <c r="B18" s="5">
        <f>IFERROR(COUNTIF('Ativos únicos'!L2:L19,"pronto")/COUNTA('Ativos únicos'!A2:A19),0)</f>
        <v/>
      </c>
      <c r="C18" s="25" t="n">
        <v>0</v>
      </c>
      <c r="D18" s="2" t="inlineStr">
        <is>
          <t>Atualiza sozinho conforme o Status muda</t>
        </is>
      </c>
    </row>
    <row r="20">
      <c r="A20" s="6" t="inlineStr">
        <is>
          <t>ATENÇÃO — nº de ativos ≠ nº de QR</t>
        </is>
      </c>
    </row>
    <row r="21">
      <c r="A21" s="7" t="inlineStr">
        <is>
          <t>Três destinos são chamados de mais de uma página. Produzir menos ativos do que QR a regerar é o erro clássico de planejamento aqui.</t>
        </is>
      </c>
    </row>
    <row r="26">
      <c r="A26" s="26" t="inlineStr">
        <is>
          <t>Sobre as duas colunas</t>
        </is>
      </c>
    </row>
    <row r="27" ht="30" customHeight="1">
      <c r="A27" s="27" t="inlineStr">
        <is>
          <t>Coluna «Fórmula»: viva — recalcula sozinha quando você muda o Status nas outras abas. Aparece vazia até você abrir o arquivo no Excel ou no Google Sheets, que calcula na abertura.</t>
        </is>
      </c>
    </row>
    <row r="28" ht="30" customHeight="1">
      <c r="A28" s="27" t="inlineStr">
        <is>
          <t>Coluna «Valor de referência»: foto do inventário conferido em 21/08/2026. Serve de conferência — se a fórmula divergir depois, é porque alguém editou as abas de dados.</t>
        </is>
      </c>
    </row>
    <row r="30">
      <c r="A30" s="26" t="inlineStr">
        <is>
          <t>Escopo desta planilha</t>
        </is>
      </c>
    </row>
    <row r="31">
      <c r="A31" s="7" t="inlineStr">
        <is>
          <t>Listar e localizar os vídeos e seus links. A produção da versão em espanhol — legenda, dublagem ou regravação — é decisão e execução da FEA, fora do escopo deste inventário.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34" customWidth="1" min="3" max="3"/>
    <col width="34" customWidth="1" min="4" max="4"/>
    <col width="26" customWidth="1" min="5" max="5"/>
    <col width="38" customWidth="1" min="6" max="6"/>
    <col width="8" customWidth="1" min="7" max="7"/>
    <col width="52" customWidth="1" min="8" max="8"/>
    <col width="13" customWidth="1" min="9" max="9"/>
    <col width="11" customWidth="1" min="10" max="10"/>
    <col width="13" customWidth="1" min="11" max="11"/>
    <col width="52" customWidth="1" min="12" max="12"/>
    <col width="15" customWidth="1" min="13" max="13"/>
    <col width="16" customWidth="1" min="14" max="14"/>
    <col width="13" customWidth="1" min="15" max="15"/>
    <col width="32" customWidth="1" min="16" max="16"/>
  </cols>
  <sheetData>
    <row r="1" ht="30" customHeight="1">
      <c r="A1" s="8" t="inlineStr">
        <is>
          <t>Pág.</t>
        </is>
      </c>
      <c r="B1" s="8" t="inlineStr">
        <is>
          <t>Plataforma</t>
        </is>
      </c>
      <c r="C1" s="8" t="inlineStr">
        <is>
          <t>Rótulo PT</t>
        </is>
      </c>
      <c r="D1" s="8" t="inlineStr">
        <is>
          <t>Rótulo ES</t>
        </is>
      </c>
      <c r="E1" s="8" t="inlineStr">
        <is>
          <t>Assunto</t>
        </is>
      </c>
      <c r="F1" s="8" t="inlineStr">
        <is>
          <t>Arquivo de origem</t>
        </is>
      </c>
      <c r="G1" s="8" t="inlineStr">
        <is>
          <t>Tam.</t>
        </is>
      </c>
      <c r="H1" s="8" t="inlineStr">
        <is>
          <t>Link atual</t>
        </is>
      </c>
      <c r="I1" s="8" t="inlineStr">
        <is>
          <t>Marcador t= (s)</t>
        </is>
      </c>
      <c r="J1" s="8" t="inlineStr">
        <is>
          <t>ID do ativo</t>
        </is>
      </c>
      <c r="K1" s="8" t="inlineStr">
        <is>
          <t>Reaproveitado</t>
        </is>
      </c>
      <c r="L1" s="8" t="inlineStr">
        <is>
          <t>Link ES</t>
        </is>
      </c>
      <c r="M1" s="8" t="inlineStr">
        <is>
          <t>Status</t>
        </is>
      </c>
      <c r="N1" s="8" t="inlineStr">
        <is>
          <t>Responsável</t>
        </is>
      </c>
      <c r="O1" s="8" t="inlineStr">
        <is>
          <t>Data prevista</t>
        </is>
      </c>
      <c r="P1" s="8" t="inlineStr">
        <is>
          <t>Observação</t>
        </is>
      </c>
    </row>
    <row r="2">
      <c r="A2" s="9" t="n">
        <v>14</v>
      </c>
      <c r="B2" s="9" t="inlineStr">
        <is>
          <t>Google Drive</t>
        </is>
      </c>
      <c r="C2" s="9" t="inlineStr">
        <is>
          <t>Outros fatores que levam ao envelhecimento da face</t>
        </is>
      </c>
      <c r="D2" s="9" t="inlineStr">
        <is>
          <t>Otros factores que conducen al envejecimiento facial</t>
        </is>
      </c>
      <c r="E2" s="9" t="inlineStr">
        <is>
          <t>Anatomia · fisiologia do envelhecimento</t>
        </is>
      </c>
      <c r="F2" s="9" t="inlineStr">
        <is>
          <t>video 2 - fisio envelhecimento.mp4</t>
        </is>
      </c>
      <c r="G2" s="9" t="inlineStr">
        <is>
          <t>186 MB</t>
        </is>
      </c>
      <c r="H2" s="9" t="inlineStr">
        <is>
          <t>https://drive.google.com/file/d/1HwoJC-1_lPVUSta0TDL_rTCL6s-zbfPP/view</t>
        </is>
      </c>
      <c r="I2" s="9" t="n"/>
      <c r="J2" s="9" t="inlineStr">
        <is>
          <t>1HwoJC</t>
        </is>
      </c>
      <c r="K2" s="9" t="inlineStr">
        <is>
          <t>não</t>
        </is>
      </c>
      <c r="L2" s="10" t="n"/>
      <c r="M2" s="10" t="inlineStr">
        <is>
          <t>pendente</t>
        </is>
      </c>
      <c r="N2" s="10" t="n"/>
      <c r="O2" s="10" t="n"/>
      <c r="P2" s="10" t="n"/>
    </row>
    <row r="3">
      <c r="A3" s="11" t="n">
        <v>20</v>
      </c>
      <c r="B3" s="11" t="inlineStr">
        <is>
          <t>Google Drive</t>
        </is>
      </c>
      <c r="C3" s="11" t="inlineStr">
        <is>
          <t>Anatomia no cadáver — revisão completa</t>
        </is>
      </c>
      <c r="D3" s="11" t="inlineStr">
        <is>
          <t>Anatomía en cadáver — revisión completa</t>
        </is>
      </c>
      <c r="E3" s="11" t="inlineStr">
        <is>
          <t>Anatomia · dissecção</t>
        </is>
      </c>
      <c r="F3" s="11" t="inlineStr">
        <is>
          <t>ANATOMIA NO CADAVER - REVISAO COMPLETA.mp4</t>
        </is>
      </c>
      <c r="G3" s="11" t="inlineStr">
        <is>
          <t>667 MB</t>
        </is>
      </c>
      <c r="H3" s="11" t="inlineStr">
        <is>
          <t>https://drive.google.com/file/d/1zg1QC8ae2GOl4xOB5dWWArZBzKhfJHXk/view?t=30</t>
        </is>
      </c>
      <c r="I3" s="12" t="n">
        <v>30</v>
      </c>
      <c r="J3" s="11" t="inlineStr">
        <is>
          <t>1zg1QC</t>
        </is>
      </c>
      <c r="K3" s="11" t="inlineStr">
        <is>
          <t>não</t>
        </is>
      </c>
      <c r="L3" s="10" t="n"/>
      <c r="M3" s="10" t="inlineStr">
        <is>
          <t>pendente</t>
        </is>
      </c>
      <c r="N3" s="10" t="n"/>
      <c r="O3" s="10" t="n"/>
      <c r="P3" s="13" t="inlineStr">
        <is>
          <t>RECALCULAR o marcador de tempo na versão ES</t>
        </is>
      </c>
    </row>
    <row r="4">
      <c r="A4" s="9" t="n">
        <v>22</v>
      </c>
      <c r="B4" s="9" t="inlineStr">
        <is>
          <t>Google Drive</t>
        </is>
      </c>
      <c r="C4" s="9" t="inlineStr">
        <is>
          <t>O que é SOOF?</t>
        </is>
      </c>
      <c r="D4" s="9" t="inlineStr">
        <is>
          <t>¿Qué es la SOOF?</t>
        </is>
      </c>
      <c r="E4" s="9" t="inlineStr">
        <is>
          <t>Anatomia · compartimentos grasos</t>
        </is>
      </c>
      <c r="F4" s="9" t="inlineStr">
        <is>
          <t>O QUE É O SOOF.mp4</t>
        </is>
      </c>
      <c r="G4" s="9" t="inlineStr">
        <is>
          <t>72 MB</t>
        </is>
      </c>
      <c r="H4" s="9" t="inlineStr">
        <is>
          <t>https://drive.google.com/file/d/1OmShQSqAWbdBPSBzhcjjnEGw0bh_XUbT/view</t>
        </is>
      </c>
      <c r="I4" s="9" t="n"/>
      <c r="J4" s="9" t="inlineStr">
        <is>
          <t>1OmShQ</t>
        </is>
      </c>
      <c r="K4" s="9" t="inlineStr">
        <is>
          <t>não</t>
        </is>
      </c>
      <c r="L4" s="10" t="n"/>
      <c r="M4" s="10" t="inlineStr">
        <is>
          <t>pendente</t>
        </is>
      </c>
      <c r="N4" s="10" t="n"/>
      <c r="O4" s="10" t="n"/>
      <c r="P4" s="10" t="n"/>
    </row>
    <row r="5">
      <c r="A5" s="11" t="n">
        <v>28</v>
      </c>
      <c r="B5" s="11" t="inlineStr">
        <is>
          <t>Google Drive</t>
        </is>
      </c>
      <c r="C5" s="11" t="inlineStr">
        <is>
          <t>PT 2. Anatomia dos ligamentos verdadeiros e falsos</t>
        </is>
      </c>
      <c r="D5" s="11" t="inlineStr">
        <is>
          <t>PT 2. Anatomía de los ligamentos verdaderos y falsos</t>
        </is>
      </c>
      <c r="E5" s="11" t="inlineStr">
        <is>
          <t>Anatomia · ligamentos retentores</t>
        </is>
      </c>
      <c r="F5" s="11" t="inlineStr">
        <is>
          <t>pt2. ANATOMIA DOS LIGAMENTOS RETENTORES.mp4</t>
        </is>
      </c>
      <c r="G5" s="11" t="inlineStr">
        <is>
          <t>554 MB</t>
        </is>
      </c>
      <c r="H5" s="11" t="inlineStr">
        <is>
          <t>https://drive.google.com/file/d/1is3EUbeHVE3KDhhZsX_LG6koR6uGZY31/view</t>
        </is>
      </c>
      <c r="I5" s="11" t="n"/>
      <c r="J5" s="11" t="inlineStr">
        <is>
          <t>1is3EU</t>
        </is>
      </c>
      <c r="K5" s="11" t="inlineStr">
        <is>
          <t>não</t>
        </is>
      </c>
      <c r="L5" s="10" t="n"/>
      <c r="M5" s="10" t="inlineStr">
        <is>
          <t>pendente</t>
        </is>
      </c>
      <c r="N5" s="10" t="n"/>
      <c r="O5" s="10" t="n"/>
      <c r="P5" s="10" t="n"/>
    </row>
    <row r="6">
      <c r="A6" s="9" t="n">
        <v>34</v>
      </c>
      <c r="B6" s="9" t="inlineStr">
        <is>
          <t>Google Drive</t>
        </is>
      </c>
      <c r="C6" s="9" t="inlineStr">
        <is>
          <t>PT 1. Anatomia dos ligamentos verdadeiros e falsos</t>
        </is>
      </c>
      <c r="D6" s="9" t="inlineStr">
        <is>
          <t>PT 1. Anatomía de los ligamentos verdaderos y falsos</t>
        </is>
      </c>
      <c r="E6" s="9" t="inlineStr">
        <is>
          <t>Anatomia · ligamentos retentores</t>
        </is>
      </c>
      <c r="F6" s="9" t="inlineStr">
        <is>
          <t>pt 1. anatomia dos liagamentos verdadeiros e falsos.mp4</t>
        </is>
      </c>
      <c r="G6" s="9" t="inlineStr">
        <is>
          <t>322 MB</t>
        </is>
      </c>
      <c r="H6" s="9" t="inlineStr">
        <is>
          <t>https://drive.google.com/file/d/1PwikjaqDastNx9AR9pqqH-OHxGqWHM7g/view</t>
        </is>
      </c>
      <c r="I6" s="9" t="n"/>
      <c r="J6" s="9" t="inlineStr">
        <is>
          <t>1Pwikj</t>
        </is>
      </c>
      <c r="K6" s="9" t="inlineStr">
        <is>
          <t>não</t>
        </is>
      </c>
      <c r="L6" s="10" t="n"/>
      <c r="M6" s="10" t="inlineStr">
        <is>
          <t>pendente</t>
        </is>
      </c>
      <c r="N6" s="10" t="n"/>
      <c r="O6" s="10" t="n"/>
      <c r="P6" s="10" t="n"/>
    </row>
    <row r="7">
      <c r="A7" s="11" t="n">
        <v>46</v>
      </c>
      <c r="B7" s="11" t="inlineStr">
        <is>
          <t>YouTube</t>
        </is>
      </c>
      <c r="C7" s="11" t="inlineStr">
        <is>
          <t>Reologia</t>
        </is>
      </c>
      <c r="D7" s="11" t="inlineStr">
        <is>
          <t>Reología</t>
        </is>
      </c>
      <c r="E7" s="11" t="inlineStr">
        <is>
          <t>Reologia · escolha do preenchedor</t>
        </is>
      </c>
      <c r="F7" s="11" t="inlineStr">
        <is>
          <t>(YouTube)</t>
        </is>
      </c>
      <c r="G7" s="11" t="inlineStr"/>
      <c r="H7" s="11" t="inlineStr">
        <is>
          <t>https://www.youtube.com/watch?v=E6Jr5bm__Ys</t>
        </is>
      </c>
      <c r="I7" s="11" t="n"/>
      <c r="J7" s="11" t="inlineStr">
        <is>
          <t>E6Jr5b</t>
        </is>
      </c>
      <c r="K7" s="11" t="inlineStr">
        <is>
          <t>não</t>
        </is>
      </c>
      <c r="L7" s="10" t="n"/>
      <c r="M7" s="10" t="inlineStr">
        <is>
          <t>pendente</t>
        </is>
      </c>
      <c r="N7" s="10" t="n"/>
      <c r="O7" s="10" t="n"/>
      <c r="P7" s="10" t="n"/>
    </row>
    <row r="8">
      <c r="A8" s="9" t="n">
        <v>49</v>
      </c>
      <c r="B8" s="9" t="inlineStr">
        <is>
          <t>YouTube</t>
        </is>
      </c>
      <c r="C8" s="9" t="inlineStr">
        <is>
          <t>Planejamento de preenchimento</t>
        </is>
      </c>
      <c r="D8" s="9" t="inlineStr">
        <is>
          <t>Planificación del relleno</t>
        </is>
      </c>
      <c r="E8" s="9" t="inlineStr">
        <is>
          <t>Técnica · planejamento</t>
        </is>
      </c>
      <c r="F8" s="9" t="inlineStr">
        <is>
          <t>(YouTube)</t>
        </is>
      </c>
      <c r="G8" s="9" t="inlineStr"/>
      <c r="H8" s="9" t="inlineStr">
        <is>
          <t>https://www.youtube.com/shorts/PkKmtkkbV14</t>
        </is>
      </c>
      <c r="I8" s="9" t="n"/>
      <c r="J8" s="9" t="inlineStr">
        <is>
          <t>PkKmtk</t>
        </is>
      </c>
      <c r="K8" s="9" t="inlineStr">
        <is>
          <t>não</t>
        </is>
      </c>
      <c r="L8" s="10" t="n"/>
      <c r="M8" s="10" t="inlineStr">
        <is>
          <t>pendente</t>
        </is>
      </c>
      <c r="N8" s="10" t="n"/>
      <c r="O8" s="10" t="n"/>
      <c r="P8" s="10" t="n"/>
    </row>
    <row r="9">
      <c r="A9" s="11" t="n">
        <v>49</v>
      </c>
      <c r="B9" s="11" t="inlineStr">
        <is>
          <t>YouTube</t>
        </is>
      </c>
      <c r="C9" s="11" t="inlineStr">
        <is>
          <t>Pertuitos e raciocínio clínico</t>
        </is>
      </c>
      <c r="D9" s="11" t="inlineStr">
        <is>
          <t>Pertuitos y razonamiento clínico</t>
        </is>
      </c>
      <c r="E9" s="11" t="inlineStr">
        <is>
          <t>Técnica · pertuitos</t>
        </is>
      </c>
      <c r="F9" s="11" t="inlineStr">
        <is>
          <t>(YouTube)</t>
        </is>
      </c>
      <c r="G9" s="11" t="inlineStr"/>
      <c r="H9" s="11" t="inlineStr">
        <is>
          <t>https://www.youtube.com/shorts/kbocfP1toT4</t>
        </is>
      </c>
      <c r="I9" s="11" t="n"/>
      <c r="J9" s="11" t="inlineStr">
        <is>
          <t>kbocfP</t>
        </is>
      </c>
      <c r="K9" s="11" t="inlineStr">
        <is>
          <t>não</t>
        </is>
      </c>
      <c r="L9" s="10" t="n"/>
      <c r="M9" s="10" t="inlineStr">
        <is>
          <t>pendente</t>
        </is>
      </c>
      <c r="N9" s="10" t="n"/>
      <c r="O9" s="10" t="n"/>
      <c r="P9" s="10" t="n"/>
    </row>
    <row r="10">
      <c r="A10" s="9" t="n">
        <v>49</v>
      </c>
      <c r="B10" s="9" t="inlineStr">
        <is>
          <t>YouTube</t>
        </is>
      </c>
      <c r="C10" s="9" t="inlineStr">
        <is>
          <t>Marcação dos ligamentos</t>
        </is>
      </c>
      <c r="D10" s="9" t="inlineStr">
        <is>
          <t>Marcación de los ligamentos</t>
        </is>
      </c>
      <c r="E10" s="9" t="inlineStr">
        <is>
          <t>Técnica · marcação</t>
        </is>
      </c>
      <c r="F10" s="9" t="inlineStr">
        <is>
          <t>(YouTube)</t>
        </is>
      </c>
      <c r="G10" s="9" t="inlineStr"/>
      <c r="H10" s="9" t="inlineStr">
        <is>
          <t>https://www.youtube.com/shorts/l05fBSo_5ws</t>
        </is>
      </c>
      <c r="I10" s="9" t="n"/>
      <c r="J10" s="9" t="inlineStr">
        <is>
          <t>l05fBS</t>
        </is>
      </c>
      <c r="K10" s="9" t="inlineStr">
        <is>
          <t>SIM (2x)</t>
        </is>
      </c>
      <c r="L10" s="10" t="n"/>
      <c r="M10" s="10" t="inlineStr">
        <is>
          <t>pendente</t>
        </is>
      </c>
      <c r="N10" s="10" t="n"/>
      <c r="O10" s="10" t="n"/>
      <c r="P10" s="10" t="n"/>
    </row>
    <row r="11">
      <c r="A11" s="11" t="n">
        <v>50</v>
      </c>
      <c r="B11" s="11" t="inlineStr">
        <is>
          <t>YouTube</t>
        </is>
      </c>
      <c r="C11" s="11" t="inlineStr">
        <is>
          <t>Explicação do planejamento dos pertuitos</t>
        </is>
      </c>
      <c r="D11" s="11" t="inlineStr">
        <is>
          <t>Explicación de la planificación de los pertuitos</t>
        </is>
      </c>
      <c r="E11" s="11" t="inlineStr">
        <is>
          <t>Técnica · pertuitos</t>
        </is>
      </c>
      <c r="F11" s="11" t="inlineStr">
        <is>
          <t>(YouTube)</t>
        </is>
      </c>
      <c r="G11" s="11" t="inlineStr"/>
      <c r="H11" s="11" t="inlineStr">
        <is>
          <t>https://www.youtube.com/shorts/awa6wCo_Zl8</t>
        </is>
      </c>
      <c r="I11" s="11" t="n"/>
      <c r="J11" s="11" t="inlineStr">
        <is>
          <t>awa6wC</t>
        </is>
      </c>
      <c r="K11" s="11" t="inlineStr">
        <is>
          <t>não</t>
        </is>
      </c>
      <c r="L11" s="10" t="n"/>
      <c r="M11" s="10" t="inlineStr">
        <is>
          <t>pendente</t>
        </is>
      </c>
      <c r="N11" s="10" t="n"/>
      <c r="O11" s="10" t="n"/>
      <c r="P11" s="10" t="n"/>
    </row>
    <row r="12">
      <c r="A12" s="9" t="n">
        <v>51</v>
      </c>
      <c r="B12" s="9" t="inlineStr">
        <is>
          <t>YouTube</t>
        </is>
      </c>
      <c r="C12" s="9" t="inlineStr">
        <is>
          <t>Primeiro pertuito</t>
        </is>
      </c>
      <c r="D12" s="9" t="inlineStr">
        <is>
          <t>Primer pertuito</t>
        </is>
      </c>
      <c r="E12" s="9" t="inlineStr">
        <is>
          <t>Técnica · pertuitos</t>
        </is>
      </c>
      <c r="F12" s="9" t="inlineStr">
        <is>
          <t>(YouTube)</t>
        </is>
      </c>
      <c r="G12" s="9" t="inlineStr"/>
      <c r="H12" s="9" t="inlineStr">
        <is>
          <t>https://www.youtube.com/watch?v=63nh2AQiAtA</t>
        </is>
      </c>
      <c r="I12" s="9" t="n"/>
      <c r="J12" s="9" t="inlineStr">
        <is>
          <t>63nh2A</t>
        </is>
      </c>
      <c r="K12" s="9" t="inlineStr">
        <is>
          <t>SIM (2x)</t>
        </is>
      </c>
      <c r="L12" s="10" t="n"/>
      <c r="M12" s="10" t="inlineStr">
        <is>
          <t>pendente</t>
        </is>
      </c>
      <c r="N12" s="10" t="n"/>
      <c r="O12" s="10" t="n"/>
      <c r="P12" s="10" t="n"/>
    </row>
    <row r="13">
      <c r="A13" s="11" t="n">
        <v>51</v>
      </c>
      <c r="B13" s="11" t="inlineStr">
        <is>
          <t>YouTube</t>
        </is>
      </c>
      <c r="C13" s="11" t="inlineStr">
        <is>
          <t>Segundo pertuito</t>
        </is>
      </c>
      <c r="D13" s="11" t="inlineStr">
        <is>
          <t>Segundo pertuito</t>
        </is>
      </c>
      <c r="E13" s="11" t="inlineStr">
        <is>
          <t>Técnica · pertuitos</t>
        </is>
      </c>
      <c r="F13" s="11" t="inlineStr">
        <is>
          <t>(YouTube)</t>
        </is>
      </c>
      <c r="G13" s="11" t="inlineStr"/>
      <c r="H13" s="11" t="inlineStr">
        <is>
          <t>https://www.youtube.com/watch?v=GX9u2yyem7E</t>
        </is>
      </c>
      <c r="I13" s="11" t="n"/>
      <c r="J13" s="11" t="inlineStr">
        <is>
          <t>GX9u2y</t>
        </is>
      </c>
      <c r="K13" s="11" t="inlineStr">
        <is>
          <t>não</t>
        </is>
      </c>
      <c r="L13" s="10" t="n"/>
      <c r="M13" s="10" t="inlineStr">
        <is>
          <t>pendente</t>
        </is>
      </c>
      <c r="N13" s="10" t="n"/>
      <c r="O13" s="10" t="n"/>
      <c r="P13" s="10" t="n"/>
    </row>
    <row r="14">
      <c r="A14" s="9" t="n">
        <v>52</v>
      </c>
      <c r="B14" s="9" t="inlineStr">
        <is>
          <t>YouTube</t>
        </is>
      </c>
      <c r="C14" s="9" t="inlineStr">
        <is>
          <t>Terceiro e quarto pertuito</t>
        </is>
      </c>
      <c r="D14" s="9" t="inlineStr">
        <is>
          <t>Tercer y cuarto pertuito</t>
        </is>
      </c>
      <c r="E14" s="9" t="inlineStr">
        <is>
          <t>Técnica · pertuitos</t>
        </is>
      </c>
      <c r="F14" s="9" t="inlineStr">
        <is>
          <t>(YouTube)</t>
        </is>
      </c>
      <c r="G14" s="9" t="inlineStr"/>
      <c r="H14" s="9" t="inlineStr">
        <is>
          <t>https://www.youtube.com/watch?v=FHyZ4Ee_q1E</t>
        </is>
      </c>
      <c r="I14" s="9" t="n"/>
      <c r="J14" s="9" t="inlineStr">
        <is>
          <t>FHyZ4E</t>
        </is>
      </c>
      <c r="K14" s="9" t="inlineStr">
        <is>
          <t>não</t>
        </is>
      </c>
      <c r="L14" s="10" t="n"/>
      <c r="M14" s="10" t="inlineStr">
        <is>
          <t>pendente</t>
        </is>
      </c>
      <c r="N14" s="10" t="n"/>
      <c r="O14" s="10" t="n"/>
      <c r="P14" s="10" t="n"/>
    </row>
    <row r="15">
      <c r="A15" s="11" t="n">
        <v>54</v>
      </c>
      <c r="B15" s="11" t="inlineStr">
        <is>
          <t>YouTube</t>
        </is>
      </c>
      <c r="C15" s="11" t="inlineStr">
        <is>
          <t>Demonstração do botão anestésico</t>
        </is>
      </c>
      <c r="D15" s="11" t="inlineStr">
        <is>
          <t>Demostración del botón anestésico</t>
        </is>
      </c>
      <c r="E15" s="11" t="inlineStr">
        <is>
          <t>Técnica · anestesia</t>
        </is>
      </c>
      <c r="F15" s="11" t="inlineStr">
        <is>
          <t>(YouTube)</t>
        </is>
      </c>
      <c r="G15" s="11" t="inlineStr"/>
      <c r="H15" s="11" t="inlineStr">
        <is>
          <t>https://www.youtube.com/shorts/CrQ3cQIpKpc</t>
        </is>
      </c>
      <c r="I15" s="11" t="n"/>
      <c r="J15" s="11" t="inlineStr">
        <is>
          <t>CrQ3cQ</t>
        </is>
      </c>
      <c r="K15" s="11" t="inlineStr">
        <is>
          <t>não</t>
        </is>
      </c>
      <c r="L15" s="10" t="n"/>
      <c r="M15" s="10" t="inlineStr">
        <is>
          <t>pendente</t>
        </is>
      </c>
      <c r="N15" s="10" t="n"/>
      <c r="O15" s="10" t="n"/>
      <c r="P15" s="10" t="n"/>
    </row>
    <row r="16">
      <c r="A16" s="9" t="n">
        <v>57</v>
      </c>
      <c r="B16" s="9" t="inlineStr">
        <is>
          <t>YouTube</t>
        </is>
      </c>
      <c r="C16" s="9" t="inlineStr">
        <is>
          <t>Técnica completa / raciocínio clínico</t>
        </is>
      </c>
      <c r="D16" s="9" t="inlineStr">
        <is>
          <t>Técnica completa / razonamiento clínico</t>
        </is>
      </c>
      <c r="E16" s="9" t="inlineStr">
        <is>
          <t>Técnica · caso clínico</t>
        </is>
      </c>
      <c r="F16" s="9" t="inlineStr">
        <is>
          <t>(YouTube)</t>
        </is>
      </c>
      <c r="G16" s="9" t="inlineStr"/>
      <c r="H16" s="9" t="inlineStr">
        <is>
          <t>https://www.youtube.com/shorts/_UvdKBkx3dU</t>
        </is>
      </c>
      <c r="I16" s="9" t="n"/>
      <c r="J16" s="9" t="inlineStr">
        <is>
          <t>_UvdKB</t>
        </is>
      </c>
      <c r="K16" s="9" t="inlineStr">
        <is>
          <t>não</t>
        </is>
      </c>
      <c r="L16" s="10" t="n"/>
      <c r="M16" s="10" t="inlineStr">
        <is>
          <t>pendente</t>
        </is>
      </c>
      <c r="N16" s="10" t="n"/>
      <c r="O16" s="10" t="n"/>
      <c r="P16" s="10" t="n"/>
    </row>
    <row r="17">
      <c r="A17" s="11" t="n">
        <v>57</v>
      </c>
      <c r="B17" s="11" t="inlineStr">
        <is>
          <t>YouTube</t>
        </is>
      </c>
      <c r="C17" s="11" t="inlineStr">
        <is>
          <t>Marcação dos ligamentos (reaproveitado)</t>
        </is>
      </c>
      <c r="D17" s="11" t="inlineStr">
        <is>
          <t>Marcación de los ligamentos (reutilizado)</t>
        </is>
      </c>
      <c r="E17" s="11" t="inlineStr">
        <is>
          <t>Técnica · marcação</t>
        </is>
      </c>
      <c r="F17" s="11" t="inlineStr">
        <is>
          <t>(YouTube)</t>
        </is>
      </c>
      <c r="G17" s="11" t="inlineStr"/>
      <c r="H17" s="11" t="inlineStr">
        <is>
          <t>https://www.youtube.com/shorts/l05fBSo_5ws</t>
        </is>
      </c>
      <c r="I17" s="11" t="n"/>
      <c r="J17" s="11" t="inlineStr">
        <is>
          <t>l05fBS</t>
        </is>
      </c>
      <c r="K17" s="11" t="inlineStr">
        <is>
          <t>SIM (2x)</t>
        </is>
      </c>
      <c r="L17" s="10" t="n"/>
      <c r="M17" s="10" t="inlineStr">
        <is>
          <t>pendente</t>
        </is>
      </c>
      <c r="N17" s="10" t="n"/>
      <c r="O17" s="10" t="n"/>
      <c r="P17" s="10" t="n"/>
    </row>
    <row r="18">
      <c r="A18" s="9" t="n">
        <v>57</v>
      </c>
      <c r="B18" s="9" t="inlineStr">
        <is>
          <t>YouTube</t>
        </is>
      </c>
      <c r="C18" s="9" t="inlineStr">
        <is>
          <t>Primeiro pertuito (reaproveitado)</t>
        </is>
      </c>
      <c r="D18" s="9" t="inlineStr">
        <is>
          <t>Primer pertuito (reutilizado)</t>
        </is>
      </c>
      <c r="E18" s="9" t="inlineStr">
        <is>
          <t>Técnica · pertuitos</t>
        </is>
      </c>
      <c r="F18" s="9" t="inlineStr">
        <is>
          <t>(YouTube)</t>
        </is>
      </c>
      <c r="G18" s="9" t="inlineStr"/>
      <c r="H18" s="9" t="inlineStr">
        <is>
          <t>https://www.youtube.com/watch?v=63nh2AQiAtA</t>
        </is>
      </c>
      <c r="I18" s="9" t="n"/>
      <c r="J18" s="9" t="inlineStr">
        <is>
          <t>63nh2A</t>
        </is>
      </c>
      <c r="K18" s="9" t="inlineStr">
        <is>
          <t>SIM (2x)</t>
        </is>
      </c>
      <c r="L18" s="10" t="n"/>
      <c r="M18" s="10" t="inlineStr">
        <is>
          <t>pendente</t>
        </is>
      </c>
      <c r="N18" s="10" t="n"/>
      <c r="O18" s="10" t="n"/>
      <c r="P18" s="10" t="n"/>
    </row>
    <row r="19">
      <c r="A19" s="11" t="n">
        <v>61</v>
      </c>
      <c r="B19" s="11" t="inlineStr">
        <is>
          <t>Google Drive</t>
        </is>
      </c>
      <c r="C19" s="11" t="inlineStr">
        <is>
          <t>Hialuronidase na região orbital — caso clínico 2</t>
        </is>
      </c>
      <c r="D19" s="11" t="inlineStr">
        <is>
          <t>Hialuronidasa en la región orbitaria — caso clínico 2</t>
        </is>
      </c>
      <c r="E19" s="11" t="inlineStr">
        <is>
          <t>Intercorrências · hialuronidase</t>
        </is>
      </c>
      <c r="F19" s="11" t="inlineStr">
        <is>
          <t>Caso clínico 2 - Hialuronidase.mp4</t>
        </is>
      </c>
      <c r="G19" s="11" t="inlineStr">
        <is>
          <t>4,6 GB</t>
        </is>
      </c>
      <c r="H19" s="11" t="inlineStr">
        <is>
          <t>https://drive.google.com/file/d/18J0kJ0kq_OiVoL7ExuHxsQJZG_DzysLS/view?t=1100</t>
        </is>
      </c>
      <c r="I19" s="12" t="n">
        <v>1100</v>
      </c>
      <c r="J19" s="11" t="inlineStr">
        <is>
          <t>18J0kJ</t>
        </is>
      </c>
      <c r="K19" s="11" t="inlineStr">
        <is>
          <t>não</t>
        </is>
      </c>
      <c r="L19" s="10" t="n"/>
      <c r="M19" s="10" t="inlineStr">
        <is>
          <t>pendente</t>
        </is>
      </c>
      <c r="N19" s="10" t="n"/>
      <c r="O19" s="10" t="n"/>
      <c r="P19" s="13" t="inlineStr">
        <is>
          <t>RECALCULAR o marcador de tempo na versão ES</t>
        </is>
      </c>
    </row>
    <row r="20">
      <c r="A20" s="9" t="n">
        <v>61</v>
      </c>
      <c r="B20" s="9" t="inlineStr">
        <is>
          <t>Google Drive</t>
        </is>
      </c>
      <c r="C20" s="9" t="inlineStr">
        <is>
          <t>Hialuronidase na região orbital — aula 8</t>
        </is>
      </c>
      <c r="D20" s="9" t="inlineStr">
        <is>
          <t>Hialuronidasa en la región orbitaria — clase 8</t>
        </is>
      </c>
      <c r="E20" s="9" t="inlineStr">
        <is>
          <t>Intercorrências · hialuronidase</t>
        </is>
      </c>
      <c r="F20" s="9" t="inlineStr">
        <is>
          <t>Dia 17 Aula 8.mp4</t>
        </is>
      </c>
      <c r="G20" s="9" t="inlineStr">
        <is>
          <t>1,1 GB</t>
        </is>
      </c>
      <c r="H20" s="9" t="inlineStr">
        <is>
          <t>https://drive.google.com/file/d/1o8GJ5chWVE3bAnvLYUbzfBo5Lqw7v95Z/view?t=94</t>
        </is>
      </c>
      <c r="I20" s="14" t="n">
        <v>94</v>
      </c>
      <c r="J20" s="9" t="inlineStr">
        <is>
          <t>1o8GJ5</t>
        </is>
      </c>
      <c r="K20" s="9" t="inlineStr">
        <is>
          <t>não</t>
        </is>
      </c>
      <c r="L20" s="10" t="n"/>
      <c r="M20" s="10" t="inlineStr">
        <is>
          <t>pendente</t>
        </is>
      </c>
      <c r="N20" s="10" t="n"/>
      <c r="O20" s="10" t="n"/>
      <c r="P20" s="13" t="inlineStr">
        <is>
          <t>RECALCULAR o marcador de tempo na versão ES</t>
        </is>
      </c>
    </row>
    <row r="21">
      <c r="A21" s="11" t="n">
        <v>64</v>
      </c>
      <c r="B21" s="11" t="inlineStr">
        <is>
          <t>Google Drive</t>
        </is>
      </c>
      <c r="C21" s="11" t="inlineStr">
        <is>
          <t>Raciocínio clínico para evitar irregularidades e relevo</t>
        </is>
      </c>
      <c r="D21" s="11" t="inlineStr">
        <is>
          <t>Razonamiento clínico para evitar irregularidades y relieve</t>
        </is>
      </c>
      <c r="E21" s="11" t="inlineStr">
        <is>
          <t>Intercorrências · irregularidades</t>
        </is>
      </c>
      <c r="F21" s="11" t="inlineStr">
        <is>
          <t>RACIOCIONIO POR TRAZ DO PREENCHIMENTO.mp4</t>
        </is>
      </c>
      <c r="G21" s="11" t="inlineStr">
        <is>
          <t>221 MB</t>
        </is>
      </c>
      <c r="H21" s="11" t="inlineStr">
        <is>
          <t>https://drive.google.com/file/d/1cKZXapLdvwJ-YPATGMQPOBvqyX9mrn2L/view?t=164</t>
        </is>
      </c>
      <c r="I21" s="12" t="n">
        <v>164</v>
      </c>
      <c r="J21" s="11" t="inlineStr">
        <is>
          <t>1cKZXa</t>
        </is>
      </c>
      <c r="K21" s="11" t="inlineStr">
        <is>
          <t>não</t>
        </is>
      </c>
      <c r="L21" s="10" t="n"/>
      <c r="M21" s="10" t="inlineStr">
        <is>
          <t>pendente</t>
        </is>
      </c>
      <c r="N21" s="10" t="n"/>
      <c r="O21" s="10" t="n"/>
      <c r="P21" s="13" t="inlineStr">
        <is>
          <t>RECALCULAR o marcador de tempo na versão 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34" customWidth="1" min="3" max="3"/>
    <col width="26" customWidth="1" min="4" max="4"/>
    <col width="38" customWidth="1" min="5" max="5"/>
    <col width="8" customWidth="1" min="6" max="6"/>
    <col width="52" customWidth="1" min="7" max="7"/>
    <col width="18" customWidth="1" min="8" max="8"/>
    <col width="10" customWidth="1" min="9" max="9"/>
    <col width="22" customWidth="1" min="10" max="10"/>
    <col width="52" customWidth="1" min="11" max="11"/>
    <col width="15" customWidth="1" min="12" max="12"/>
    <col width="16" customWidth="1" min="13" max="13"/>
    <col width="13" customWidth="1" min="14" max="14"/>
  </cols>
  <sheetData>
    <row r="1" ht="30" customHeight="1">
      <c r="A1" s="8" t="inlineStr">
        <is>
          <t>ID do ativo</t>
        </is>
      </c>
      <c r="B1" s="8" t="inlineStr">
        <is>
          <t>Plataforma</t>
        </is>
      </c>
      <c r="C1" s="8" t="inlineStr">
        <is>
          <t>Rótulo ES</t>
        </is>
      </c>
      <c r="D1" s="8" t="inlineStr">
        <is>
          <t>Assunto</t>
        </is>
      </c>
      <c r="E1" s="8" t="inlineStr">
        <is>
          <t>Arquivo de origem</t>
        </is>
      </c>
      <c r="F1" s="8" t="inlineStr">
        <is>
          <t>Tam.</t>
        </is>
      </c>
      <c r="G1" s="8" t="inlineStr">
        <is>
          <t>Link atual</t>
        </is>
      </c>
      <c r="H1" s="8" t="inlineStr">
        <is>
          <t>Páginas que usam</t>
        </is>
      </c>
      <c r="I1" s="8" t="inlineStr">
        <is>
          <t>Nº de QR</t>
        </is>
      </c>
      <c r="J1" s="8" t="inlineStr">
        <is>
          <t>Link ES</t>
        </is>
      </c>
      <c r="K1" s="8" t="inlineStr">
        <is>
          <t>Status</t>
        </is>
      </c>
      <c r="L1" s="8" t="inlineStr">
        <is>
          <t>Responsável</t>
        </is>
      </c>
      <c r="M1" s="8" t="inlineStr">
        <is>
          <t>Data prevista</t>
        </is>
      </c>
    </row>
    <row r="2">
      <c r="A2" s="9" t="inlineStr">
        <is>
          <t>1HwoJC</t>
        </is>
      </c>
      <c r="B2" s="9" t="inlineStr">
        <is>
          <t>Google Drive</t>
        </is>
      </c>
      <c r="C2" s="9" t="inlineStr">
        <is>
          <t>Otros factores que conducen al envejecimiento facial</t>
        </is>
      </c>
      <c r="D2" s="9" t="inlineStr">
        <is>
          <t>Anatomia · fisiologia do envelhecimento</t>
        </is>
      </c>
      <c r="E2" s="9" t="inlineStr">
        <is>
          <t>video 2 - fisio envelhecimento.mp4</t>
        </is>
      </c>
      <c r="F2" s="9" t="inlineStr">
        <is>
          <t>186 MB</t>
        </is>
      </c>
      <c r="G2" s="9" t="inlineStr">
        <is>
          <t>https://drive.google.com/file/d/1HwoJC-1_lPVUSta0TDL_rTCL6s-zbfPP/view</t>
        </is>
      </c>
      <c r="H2" s="9" t="inlineStr">
        <is>
          <t>14</t>
        </is>
      </c>
      <c r="I2" s="9" t="n">
        <v>1</v>
      </c>
      <c r="J2" s="10" t="n"/>
      <c r="K2" s="10" t="inlineStr">
        <is>
          <t>pendente</t>
        </is>
      </c>
      <c r="L2" s="10" t="n"/>
      <c r="M2" s="10" t="n"/>
    </row>
    <row r="3">
      <c r="A3" s="11" t="inlineStr">
        <is>
          <t>1zg1QC</t>
        </is>
      </c>
      <c r="B3" s="11" t="inlineStr">
        <is>
          <t>Google Drive</t>
        </is>
      </c>
      <c r="C3" s="11" t="inlineStr">
        <is>
          <t>Anatomía en cadáver — revisión completa</t>
        </is>
      </c>
      <c r="D3" s="11" t="inlineStr">
        <is>
          <t>Anatomia · dissecção</t>
        </is>
      </c>
      <c r="E3" s="11" t="inlineStr">
        <is>
          <t>ANATOMIA NO CADAVER - REVISAO COMPLETA.mp4</t>
        </is>
      </c>
      <c r="F3" s="11" t="inlineStr">
        <is>
          <t>667 MB</t>
        </is>
      </c>
      <c r="G3" s="11" t="inlineStr">
        <is>
          <t>https://drive.google.com/file/d/1zg1QC8ae2GOl4xOB5dWWArZBzKhfJHXk/view?t=30</t>
        </is>
      </c>
      <c r="H3" s="11" t="inlineStr">
        <is>
          <t>20</t>
        </is>
      </c>
      <c r="I3" s="11" t="n">
        <v>1</v>
      </c>
      <c r="J3" s="10" t="n"/>
      <c r="K3" s="10" t="inlineStr">
        <is>
          <t>pendente</t>
        </is>
      </c>
      <c r="L3" s="10" t="n"/>
      <c r="M3" s="10" t="n"/>
    </row>
    <row r="4">
      <c r="A4" s="9" t="inlineStr">
        <is>
          <t>1OmShQ</t>
        </is>
      </c>
      <c r="B4" s="9" t="inlineStr">
        <is>
          <t>Google Drive</t>
        </is>
      </c>
      <c r="C4" s="9" t="inlineStr">
        <is>
          <t>¿Qué es la SOOF?</t>
        </is>
      </c>
      <c r="D4" s="9" t="inlineStr">
        <is>
          <t>Anatomia · compartimentos grasos</t>
        </is>
      </c>
      <c r="E4" s="9" t="inlineStr">
        <is>
          <t>O QUE É O SOOF.mp4</t>
        </is>
      </c>
      <c r="F4" s="9" t="inlineStr">
        <is>
          <t>72 MB</t>
        </is>
      </c>
      <c r="G4" s="9" t="inlineStr">
        <is>
          <t>https://drive.google.com/file/d/1OmShQSqAWbdBPSBzhcjjnEGw0bh_XUbT/view</t>
        </is>
      </c>
      <c r="H4" s="9" t="inlineStr">
        <is>
          <t>22</t>
        </is>
      </c>
      <c r="I4" s="9" t="n">
        <v>1</v>
      </c>
      <c r="J4" s="10" t="n"/>
      <c r="K4" s="10" t="inlineStr">
        <is>
          <t>pendente</t>
        </is>
      </c>
      <c r="L4" s="10" t="n"/>
      <c r="M4" s="10" t="n"/>
    </row>
    <row r="5">
      <c r="A5" s="11" t="inlineStr">
        <is>
          <t>1is3EU</t>
        </is>
      </c>
      <c r="B5" s="11" t="inlineStr">
        <is>
          <t>Google Drive</t>
        </is>
      </c>
      <c r="C5" s="11" t="inlineStr">
        <is>
          <t>PT 2. Anatomía de los ligamentos verdaderos y falsos</t>
        </is>
      </c>
      <c r="D5" s="11" t="inlineStr">
        <is>
          <t>Anatomia · ligamentos retentores</t>
        </is>
      </c>
      <c r="E5" s="11" t="inlineStr">
        <is>
          <t>pt2. ANATOMIA DOS LIGAMENTOS RETENTORES.mp4</t>
        </is>
      </c>
      <c r="F5" s="11" t="inlineStr">
        <is>
          <t>554 MB</t>
        </is>
      </c>
      <c r="G5" s="11" t="inlineStr">
        <is>
          <t>https://drive.google.com/file/d/1is3EUbeHVE3KDhhZsX_LG6koR6uGZY31/view</t>
        </is>
      </c>
      <c r="H5" s="11" t="inlineStr">
        <is>
          <t>28</t>
        </is>
      </c>
      <c r="I5" s="11" t="n">
        <v>1</v>
      </c>
      <c r="J5" s="10" t="n"/>
      <c r="K5" s="10" t="inlineStr">
        <is>
          <t>pendente</t>
        </is>
      </c>
      <c r="L5" s="10" t="n"/>
      <c r="M5" s="10" t="n"/>
    </row>
    <row r="6">
      <c r="A6" s="9" t="inlineStr">
        <is>
          <t>1Pwikj</t>
        </is>
      </c>
      <c r="B6" s="9" t="inlineStr">
        <is>
          <t>Google Drive</t>
        </is>
      </c>
      <c r="C6" s="9" t="inlineStr">
        <is>
          <t>PT 1. Anatomía de los ligamentos verdaderos y falsos</t>
        </is>
      </c>
      <c r="D6" s="9" t="inlineStr">
        <is>
          <t>Anatomia · ligamentos retentores</t>
        </is>
      </c>
      <c r="E6" s="9" t="inlineStr">
        <is>
          <t>pt 1. anatomia dos liagamentos verdadeiros e falsos.mp4</t>
        </is>
      </c>
      <c r="F6" s="9" t="inlineStr">
        <is>
          <t>322 MB</t>
        </is>
      </c>
      <c r="G6" s="9" t="inlineStr">
        <is>
          <t>https://drive.google.com/file/d/1PwikjaqDastNx9AR9pqqH-OHxGqWHM7g/view</t>
        </is>
      </c>
      <c r="H6" s="9" t="inlineStr">
        <is>
          <t>34</t>
        </is>
      </c>
      <c r="I6" s="9" t="n">
        <v>1</v>
      </c>
      <c r="J6" s="10" t="n"/>
      <c r="K6" s="10" t="inlineStr">
        <is>
          <t>pendente</t>
        </is>
      </c>
      <c r="L6" s="10" t="n"/>
      <c r="M6" s="10" t="n"/>
    </row>
    <row r="7">
      <c r="A7" s="11" t="inlineStr">
        <is>
          <t>E6Jr5b</t>
        </is>
      </c>
      <c r="B7" s="11" t="inlineStr">
        <is>
          <t>YouTube</t>
        </is>
      </c>
      <c r="C7" s="11" t="inlineStr">
        <is>
          <t>Reología</t>
        </is>
      </c>
      <c r="D7" s="11" t="inlineStr">
        <is>
          <t>Reologia · escolha do preenchedor</t>
        </is>
      </c>
      <c r="E7" s="11" t="inlineStr">
        <is>
          <t>(YouTube)</t>
        </is>
      </c>
      <c r="F7" s="11" t="inlineStr"/>
      <c r="G7" s="11" t="inlineStr">
        <is>
          <t>https://www.youtube.com/watch?v=E6Jr5bm__Ys</t>
        </is>
      </c>
      <c r="H7" s="11" t="inlineStr">
        <is>
          <t>46</t>
        </is>
      </c>
      <c r="I7" s="11" t="n">
        <v>1</v>
      </c>
      <c r="J7" s="10" t="n"/>
      <c r="K7" s="10" t="inlineStr">
        <is>
          <t>pendente</t>
        </is>
      </c>
      <c r="L7" s="10" t="n"/>
      <c r="M7" s="10" t="n"/>
    </row>
    <row r="8">
      <c r="A8" s="9" t="inlineStr">
        <is>
          <t>PkKmtk</t>
        </is>
      </c>
      <c r="B8" s="9" t="inlineStr">
        <is>
          <t>YouTube</t>
        </is>
      </c>
      <c r="C8" s="9" t="inlineStr">
        <is>
          <t>Planificación del relleno</t>
        </is>
      </c>
      <c r="D8" s="9" t="inlineStr">
        <is>
          <t>Técnica · planejamento</t>
        </is>
      </c>
      <c r="E8" s="9" t="inlineStr">
        <is>
          <t>(YouTube)</t>
        </is>
      </c>
      <c r="F8" s="9" t="inlineStr"/>
      <c r="G8" s="9" t="inlineStr">
        <is>
          <t>https://www.youtube.com/shorts/PkKmtkkbV14</t>
        </is>
      </c>
      <c r="H8" s="9" t="inlineStr">
        <is>
          <t>49</t>
        </is>
      </c>
      <c r="I8" s="9" t="n">
        <v>1</v>
      </c>
      <c r="J8" s="10" t="n"/>
      <c r="K8" s="10" t="inlineStr">
        <is>
          <t>pendente</t>
        </is>
      </c>
      <c r="L8" s="10" t="n"/>
      <c r="M8" s="10" t="n"/>
    </row>
    <row r="9">
      <c r="A9" s="11" t="inlineStr">
        <is>
          <t>kbocfP</t>
        </is>
      </c>
      <c r="B9" s="11" t="inlineStr">
        <is>
          <t>YouTube</t>
        </is>
      </c>
      <c r="C9" s="11" t="inlineStr">
        <is>
          <t>Pertuitos y razonamiento clínico</t>
        </is>
      </c>
      <c r="D9" s="11" t="inlineStr">
        <is>
          <t>Técnica · pertuitos</t>
        </is>
      </c>
      <c r="E9" s="11" t="inlineStr">
        <is>
          <t>(YouTube)</t>
        </is>
      </c>
      <c r="F9" s="11" t="inlineStr"/>
      <c r="G9" s="11" t="inlineStr">
        <is>
          <t>https://www.youtube.com/shorts/kbocfP1toT4</t>
        </is>
      </c>
      <c r="H9" s="11" t="inlineStr">
        <is>
          <t>49</t>
        </is>
      </c>
      <c r="I9" s="11" t="n">
        <v>1</v>
      </c>
      <c r="J9" s="10" t="n"/>
      <c r="K9" s="10" t="inlineStr">
        <is>
          <t>pendente</t>
        </is>
      </c>
      <c r="L9" s="10" t="n"/>
      <c r="M9" s="10" t="n"/>
    </row>
    <row r="10">
      <c r="A10" s="9" t="inlineStr">
        <is>
          <t>l05fBS</t>
        </is>
      </c>
      <c r="B10" s="9" t="inlineStr">
        <is>
          <t>YouTube</t>
        </is>
      </c>
      <c r="C10" s="9" t="inlineStr">
        <is>
          <t>Marcación de los ligamentos</t>
        </is>
      </c>
      <c r="D10" s="9" t="inlineStr">
        <is>
          <t>Técnica · marcação</t>
        </is>
      </c>
      <c r="E10" s="9" t="inlineStr">
        <is>
          <t>(YouTube)</t>
        </is>
      </c>
      <c r="F10" s="9" t="inlineStr"/>
      <c r="G10" s="9" t="inlineStr">
        <is>
          <t>https://www.youtube.com/shorts/l05fBSo_5ws</t>
        </is>
      </c>
      <c r="H10" s="9" t="inlineStr">
        <is>
          <t>49, 57</t>
        </is>
      </c>
      <c r="I10" s="9" t="n">
        <v>2</v>
      </c>
      <c r="J10" s="10" t="n"/>
      <c r="K10" s="10" t="inlineStr">
        <is>
          <t>pendente</t>
        </is>
      </c>
      <c r="L10" s="10" t="n"/>
      <c r="M10" s="10" t="n"/>
    </row>
    <row r="11">
      <c r="A11" s="11" t="inlineStr">
        <is>
          <t>awa6wC</t>
        </is>
      </c>
      <c r="B11" s="11" t="inlineStr">
        <is>
          <t>YouTube</t>
        </is>
      </c>
      <c r="C11" s="11" t="inlineStr">
        <is>
          <t>Explicación de la planificación de los pertuitos</t>
        </is>
      </c>
      <c r="D11" s="11" t="inlineStr">
        <is>
          <t>Técnica · pertuitos</t>
        </is>
      </c>
      <c r="E11" s="11" t="inlineStr">
        <is>
          <t>(YouTube)</t>
        </is>
      </c>
      <c r="F11" s="11" t="inlineStr"/>
      <c r="G11" s="11" t="inlineStr">
        <is>
          <t>https://www.youtube.com/shorts/awa6wCo_Zl8</t>
        </is>
      </c>
      <c r="H11" s="11" t="inlineStr">
        <is>
          <t>50</t>
        </is>
      </c>
      <c r="I11" s="11" t="n">
        <v>1</v>
      </c>
      <c r="J11" s="10" t="n"/>
      <c r="K11" s="10" t="inlineStr">
        <is>
          <t>pendente</t>
        </is>
      </c>
      <c r="L11" s="10" t="n"/>
      <c r="M11" s="10" t="n"/>
    </row>
    <row r="12">
      <c r="A12" s="9" t="inlineStr">
        <is>
          <t>63nh2A</t>
        </is>
      </c>
      <c r="B12" s="9" t="inlineStr">
        <is>
          <t>YouTube</t>
        </is>
      </c>
      <c r="C12" s="9" t="inlineStr">
        <is>
          <t>Primer pertuito</t>
        </is>
      </c>
      <c r="D12" s="9" t="inlineStr">
        <is>
          <t>Técnica · pertuitos</t>
        </is>
      </c>
      <c r="E12" s="9" t="inlineStr">
        <is>
          <t>(YouTube)</t>
        </is>
      </c>
      <c r="F12" s="9" t="inlineStr"/>
      <c r="G12" s="9" t="inlineStr">
        <is>
          <t>https://www.youtube.com/watch?v=63nh2AQiAtA</t>
        </is>
      </c>
      <c r="H12" s="9" t="inlineStr">
        <is>
          <t>51, 57</t>
        </is>
      </c>
      <c r="I12" s="9" t="n">
        <v>2</v>
      </c>
      <c r="J12" s="10" t="n"/>
      <c r="K12" s="10" t="inlineStr">
        <is>
          <t>pendente</t>
        </is>
      </c>
      <c r="L12" s="10" t="n"/>
      <c r="M12" s="10" t="n"/>
    </row>
    <row r="13">
      <c r="A13" s="11" t="inlineStr">
        <is>
          <t>GX9u2y</t>
        </is>
      </c>
      <c r="B13" s="11" t="inlineStr">
        <is>
          <t>YouTube</t>
        </is>
      </c>
      <c r="C13" s="11" t="inlineStr">
        <is>
          <t>Segundo pertuito</t>
        </is>
      </c>
      <c r="D13" s="11" t="inlineStr">
        <is>
          <t>Técnica · pertuitos</t>
        </is>
      </c>
      <c r="E13" s="11" t="inlineStr">
        <is>
          <t>(YouTube)</t>
        </is>
      </c>
      <c r="F13" s="11" t="inlineStr"/>
      <c r="G13" s="11" t="inlineStr">
        <is>
          <t>https://www.youtube.com/watch?v=GX9u2yyem7E</t>
        </is>
      </c>
      <c r="H13" s="11" t="inlineStr">
        <is>
          <t>51</t>
        </is>
      </c>
      <c r="I13" s="11" t="n">
        <v>1</v>
      </c>
      <c r="J13" s="10" t="n"/>
      <c r="K13" s="10" t="inlineStr">
        <is>
          <t>pendente</t>
        </is>
      </c>
      <c r="L13" s="10" t="n"/>
      <c r="M13" s="10" t="n"/>
    </row>
    <row r="14">
      <c r="A14" s="9" t="inlineStr">
        <is>
          <t>FHyZ4E</t>
        </is>
      </c>
      <c r="B14" s="9" t="inlineStr">
        <is>
          <t>YouTube</t>
        </is>
      </c>
      <c r="C14" s="9" t="inlineStr">
        <is>
          <t>Tercer y cuarto pertuito</t>
        </is>
      </c>
      <c r="D14" s="9" t="inlineStr">
        <is>
          <t>Técnica · pertuitos</t>
        </is>
      </c>
      <c r="E14" s="9" t="inlineStr">
        <is>
          <t>(YouTube)</t>
        </is>
      </c>
      <c r="F14" s="9" t="inlineStr"/>
      <c r="G14" s="9" t="inlineStr">
        <is>
          <t>https://www.youtube.com/watch?v=FHyZ4Ee_q1E</t>
        </is>
      </c>
      <c r="H14" s="9" t="inlineStr">
        <is>
          <t>52</t>
        </is>
      </c>
      <c r="I14" s="9" t="n">
        <v>1</v>
      </c>
      <c r="J14" s="10" t="n"/>
      <c r="K14" s="10" t="inlineStr">
        <is>
          <t>pendente</t>
        </is>
      </c>
      <c r="L14" s="10" t="n"/>
      <c r="M14" s="10" t="n"/>
    </row>
    <row r="15">
      <c r="A15" s="11" t="inlineStr">
        <is>
          <t>CrQ3cQ</t>
        </is>
      </c>
      <c r="B15" s="11" t="inlineStr">
        <is>
          <t>YouTube</t>
        </is>
      </c>
      <c r="C15" s="11" t="inlineStr">
        <is>
          <t>Demostración del botón anestésico</t>
        </is>
      </c>
      <c r="D15" s="11" t="inlineStr">
        <is>
          <t>Técnica · anestesia</t>
        </is>
      </c>
      <c r="E15" s="11" t="inlineStr">
        <is>
          <t>(YouTube)</t>
        </is>
      </c>
      <c r="F15" s="11" t="inlineStr"/>
      <c r="G15" s="11" t="inlineStr">
        <is>
          <t>https://www.youtube.com/shorts/CrQ3cQIpKpc</t>
        </is>
      </c>
      <c r="H15" s="11" t="inlineStr">
        <is>
          <t>54</t>
        </is>
      </c>
      <c r="I15" s="11" t="n">
        <v>1</v>
      </c>
      <c r="J15" s="10" t="n"/>
      <c r="K15" s="10" t="inlineStr">
        <is>
          <t>pendente</t>
        </is>
      </c>
      <c r="L15" s="10" t="n"/>
      <c r="M15" s="10" t="n"/>
    </row>
    <row r="16">
      <c r="A16" s="9" t="inlineStr">
        <is>
          <t>_UvdKB</t>
        </is>
      </c>
      <c r="B16" s="9" t="inlineStr">
        <is>
          <t>YouTube</t>
        </is>
      </c>
      <c r="C16" s="9" t="inlineStr">
        <is>
          <t>Técnica completa / razonamiento clínico</t>
        </is>
      </c>
      <c r="D16" s="9" t="inlineStr">
        <is>
          <t>Técnica · caso clínico</t>
        </is>
      </c>
      <c r="E16" s="9" t="inlineStr">
        <is>
          <t>(YouTube)</t>
        </is>
      </c>
      <c r="F16" s="9" t="inlineStr"/>
      <c r="G16" s="9" t="inlineStr">
        <is>
          <t>https://www.youtube.com/shorts/_UvdKBkx3dU</t>
        </is>
      </c>
      <c r="H16" s="9" t="inlineStr">
        <is>
          <t>57</t>
        </is>
      </c>
      <c r="I16" s="9" t="n">
        <v>1</v>
      </c>
      <c r="J16" s="10" t="n"/>
      <c r="K16" s="10" t="inlineStr">
        <is>
          <t>pendente</t>
        </is>
      </c>
      <c r="L16" s="10" t="n"/>
      <c r="M16" s="10" t="n"/>
    </row>
    <row r="17">
      <c r="A17" s="11" t="inlineStr">
        <is>
          <t>18J0kJ</t>
        </is>
      </c>
      <c r="B17" s="11" t="inlineStr">
        <is>
          <t>Google Drive</t>
        </is>
      </c>
      <c r="C17" s="11" t="inlineStr">
        <is>
          <t>Hialuronidasa en la región orbitaria — caso clínico 2</t>
        </is>
      </c>
      <c r="D17" s="11" t="inlineStr">
        <is>
          <t>Intercorrências · hialuronidase</t>
        </is>
      </c>
      <c r="E17" s="11" t="inlineStr">
        <is>
          <t>Caso clínico 2 - Hialuronidase.mp4</t>
        </is>
      </c>
      <c r="F17" s="11" t="inlineStr">
        <is>
          <t>4,6 GB</t>
        </is>
      </c>
      <c r="G17" s="11" t="inlineStr">
        <is>
          <t>https://drive.google.com/file/d/18J0kJ0kq_OiVoL7ExuHxsQJZG_DzysLS/view?t=1100</t>
        </is>
      </c>
      <c r="H17" s="11" t="inlineStr">
        <is>
          <t>61</t>
        </is>
      </c>
      <c r="I17" s="11" t="n">
        <v>1</v>
      </c>
      <c r="J17" s="10" t="n"/>
      <c r="K17" s="10" t="inlineStr">
        <is>
          <t>pendente</t>
        </is>
      </c>
      <c r="L17" s="10" t="n"/>
      <c r="M17" s="10" t="n"/>
    </row>
    <row r="18">
      <c r="A18" s="9" t="inlineStr">
        <is>
          <t>1o8GJ5</t>
        </is>
      </c>
      <c r="B18" s="9" t="inlineStr">
        <is>
          <t>Google Drive</t>
        </is>
      </c>
      <c r="C18" s="9" t="inlineStr">
        <is>
          <t>Hialuronidasa en la región orbitaria — clase 8</t>
        </is>
      </c>
      <c r="D18" s="9" t="inlineStr">
        <is>
          <t>Intercorrências · hialuronidase</t>
        </is>
      </c>
      <c r="E18" s="9" t="inlineStr">
        <is>
          <t>Dia 17 Aula 8.mp4</t>
        </is>
      </c>
      <c r="F18" s="9" t="inlineStr">
        <is>
          <t>1,1 GB</t>
        </is>
      </c>
      <c r="G18" s="9" t="inlineStr">
        <is>
          <t>https://drive.google.com/file/d/1o8GJ5chWVE3bAnvLYUbzfBo5Lqw7v95Z/view?t=94</t>
        </is>
      </c>
      <c r="H18" s="9" t="inlineStr">
        <is>
          <t>61</t>
        </is>
      </c>
      <c r="I18" s="9" t="n">
        <v>1</v>
      </c>
      <c r="J18" s="10" t="n"/>
      <c r="K18" s="10" t="inlineStr">
        <is>
          <t>pendente</t>
        </is>
      </c>
      <c r="L18" s="10" t="n"/>
      <c r="M18" s="10" t="n"/>
    </row>
    <row r="19">
      <c r="A19" s="11" t="inlineStr">
        <is>
          <t>1cKZXa</t>
        </is>
      </c>
      <c r="B19" s="11" t="inlineStr">
        <is>
          <t>Google Drive</t>
        </is>
      </c>
      <c r="C19" s="11" t="inlineStr">
        <is>
          <t>Razonamiento clínico para evitar irregularidades y relieve</t>
        </is>
      </c>
      <c r="D19" s="11" t="inlineStr">
        <is>
          <t>Intercorrências · irregularidades</t>
        </is>
      </c>
      <c r="E19" s="11" t="inlineStr">
        <is>
          <t>RACIOCIONIO POR TRAZ DO PREENCHIMENTO.mp4</t>
        </is>
      </c>
      <c r="F19" s="11" t="inlineStr">
        <is>
          <t>221 MB</t>
        </is>
      </c>
      <c r="G19" s="11" t="inlineStr">
        <is>
          <t>https://drive.google.com/file/d/1cKZXapLdvwJ-YPATGMQPOBvqyX9mrn2L/view?t=164</t>
        </is>
      </c>
      <c r="H19" s="11" t="inlineStr">
        <is>
          <t>64</t>
        </is>
      </c>
      <c r="I19" s="11" t="n">
        <v>1</v>
      </c>
      <c r="J19" s="10" t="n"/>
      <c r="K19" s="10" t="inlineStr">
        <is>
          <t>pendente</t>
        </is>
      </c>
      <c r="L19" s="10" t="n"/>
      <c r="M19" s="1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42" customWidth="1" min="3" max="3"/>
    <col width="8" customWidth="1" min="4" max="4"/>
    <col width="52" customWidth="1" min="5" max="5"/>
    <col width="18" customWidth="1" min="6" max="6"/>
    <col width="42" customWidth="1" min="7" max="7"/>
  </cols>
  <sheetData>
    <row r="1" ht="30" customHeight="1">
      <c r="A1" s="8" t="inlineStr">
        <is>
          <t>Pág.</t>
        </is>
      </c>
      <c r="B1" s="8" t="inlineStr">
        <is>
          <t>Arquivo</t>
        </is>
      </c>
      <c r="C1" s="8" t="inlineStr">
        <is>
          <t>Referência</t>
        </is>
      </c>
      <c r="D1" s="8" t="inlineStr">
        <is>
          <t>Tam.</t>
        </is>
      </c>
      <c r="E1" s="8" t="inlineStr">
        <is>
          <t>Link atual</t>
        </is>
      </c>
      <c r="F1" s="8" t="inlineStr">
        <is>
          <t>QR precisa mudar?</t>
        </is>
      </c>
      <c r="G1" s="8" t="inlineStr">
        <is>
          <t>Observação</t>
        </is>
      </c>
    </row>
    <row r="2">
      <c r="A2" s="9" t="n">
        <v>6</v>
      </c>
      <c r="B2" s="9" t="inlineStr">
        <is>
          <t>JCEDR-24-35561.pdf</t>
        </is>
      </c>
      <c r="C2" s="9" t="inlineStr">
        <is>
          <t>Artigo do próprio autor (JCEDR)</t>
        </is>
      </c>
      <c r="D2" s="9" t="inlineStr">
        <is>
          <t>556 KB</t>
        </is>
      </c>
      <c r="E2" s="9" t="inlineStr">
        <is>
          <t>https://drive.google.com/file/d/1q9C5LiGEo1ytzX5z5Xybmb9gqkmzJEVp/view</t>
        </is>
      </c>
      <c r="F2" s="15" t="inlineStr">
        <is>
          <t>NÃO</t>
        </is>
      </c>
      <c r="G2" s="9" t="n"/>
    </row>
    <row r="3">
      <c r="A3" s="11" t="n">
        <v>12</v>
      </c>
      <c r="B3" s="11" t="inlineStr">
        <is>
          <t>Facial-Aging-Flipchart.pdf</t>
        </is>
      </c>
      <c r="C3" s="11" t="inlineStr">
        <is>
          <t>E-book Allergan</t>
        </is>
      </c>
      <c r="D3" s="11" t="inlineStr">
        <is>
          <t>4,4 MB</t>
        </is>
      </c>
      <c r="E3" s="11" t="inlineStr">
        <is>
          <t>https://drive.google.com/file/d/1fEV5ed5ht84TZMXfyFY0UQaepV1aVBxN/view?usp=drive_link</t>
        </is>
      </c>
      <c r="F3" s="16" t="inlineStr">
        <is>
          <t>NÃO</t>
        </is>
      </c>
      <c r="G3" s="11" t="n"/>
    </row>
    <row r="4">
      <c r="A4" s="9" t="n">
        <v>13</v>
      </c>
      <c r="B4" s="9" t="inlineStr">
        <is>
          <t>3+Krutmann+2017.pdf</t>
        </is>
      </c>
      <c r="C4" s="9" t="inlineStr">
        <is>
          <t>Krutmann 2017 — envelhecimento</t>
        </is>
      </c>
      <c r="D4" s="9" t="inlineStr">
        <is>
          <t>1,1 MB</t>
        </is>
      </c>
      <c r="E4" s="9" t="inlineStr">
        <is>
          <t>https://drive.google.com/file/d/1gaeyIZq9FIraDHyogy4R3SPemwV6lZzu/view</t>
        </is>
      </c>
      <c r="F4" s="15" t="inlineStr">
        <is>
          <t>NÃO</t>
        </is>
      </c>
      <c r="G4" s="9" t="n"/>
    </row>
    <row r="5">
      <c r="A5" s="11" t="n">
        <v>13</v>
      </c>
      <c r="B5" s="11" t="inlineStr">
        <is>
          <t>Freytag_L_et_al_2022_Understanding_Facial_Aging.pdf</t>
        </is>
      </c>
      <c r="C5" s="11" t="inlineStr">
        <is>
          <t>Freytag 2022 — biomecânica facial</t>
        </is>
      </c>
      <c r="D5" s="11" t="inlineStr">
        <is>
          <t>795 KB</t>
        </is>
      </c>
      <c r="E5" s="11" t="inlineStr">
        <is>
          <t>https://drive.google.com/file/d/1nedzvMiWbnHCrsfiqUKZo3djmO5ryAMU/view</t>
        </is>
      </c>
      <c r="F5" s="16" t="inlineStr">
        <is>
          <t>NÃO</t>
        </is>
      </c>
      <c r="G5" s="11" t="n"/>
    </row>
    <row r="6">
      <c r="A6" s="9" t="n">
        <v>15</v>
      </c>
      <c r="B6" s="9" t="inlineStr">
        <is>
          <t>shaw2011.pdf</t>
        </is>
      </c>
      <c r="C6" s="9" t="inlineStr">
        <is>
          <t>Shaw 2011 — Aging of the Facial Skeleton</t>
        </is>
      </c>
      <c r="D6" s="9" t="inlineStr">
        <is>
          <t>2,0 MB</t>
        </is>
      </c>
      <c r="E6" s="9" t="inlineStr">
        <is>
          <t>https://drive.google.com/file/d/1hHRSweDij0lvIhV6MnfH_Z4A5bzksbls/view</t>
        </is>
      </c>
      <c r="F6" s="15" t="inlineStr">
        <is>
          <t>NÃO</t>
        </is>
      </c>
      <c r="G6" s="9" t="n"/>
    </row>
    <row r="7">
      <c r="A7" s="11" t="n">
        <v>17</v>
      </c>
      <c r="B7" s="11" t="inlineStr">
        <is>
          <t>gierloff2012.pdf</t>
        </is>
      </c>
      <c r="C7" s="11" t="inlineStr">
        <is>
          <t>Gierloff 2012 — Midfacial Fat Compartments</t>
        </is>
      </c>
      <c r="D7" s="11" t="inlineStr">
        <is>
          <t>456 KB</t>
        </is>
      </c>
      <c r="E7" s="11" t="inlineStr">
        <is>
          <t>https://drive.google.com/file/d/1EZrxsmfLnASki1Xw-pj8mnOu2UE-2wED/view</t>
        </is>
      </c>
      <c r="F7" s="16" t="inlineStr">
        <is>
          <t>NÃO</t>
        </is>
      </c>
      <c r="G7" s="11" t="n"/>
    </row>
    <row r="8">
      <c r="A8" s="9" t="n">
        <v>18</v>
      </c>
      <c r="B8" s="9" t="inlineStr">
        <is>
          <t>APznzaZrSXQ1h-hy-YqrVEpYOw4YIiN1n4lN…pdf</t>
        </is>
      </c>
      <c r="C8" s="9" t="inlineStr">
        <is>
          <t>Livro AFE — NOME ILEGÍVEL, renomear</t>
        </is>
      </c>
      <c r="D8" s="9" t="inlineStr">
        <is>
          <t>94 MB</t>
        </is>
      </c>
      <c r="E8" s="9" t="inlineStr">
        <is>
          <t>https://drive.google.com/file/d/1KMqjjp5S5Vxe-x6dL3VFzyd3h2zL0TYa/view</t>
        </is>
      </c>
      <c r="F8" s="15" t="inlineStr">
        <is>
          <t>NÃO</t>
        </is>
      </c>
      <c r="G8" s="9" t="inlineStr">
        <is>
          <t>Nome de arquivo ilegível — renomear no Drive antes de publicar</t>
        </is>
      </c>
    </row>
    <row r="9">
      <c r="A9" s="11" t="n">
        <v>25</v>
      </c>
      <c r="B9" s="11" t="inlineStr">
        <is>
          <t>APznzaZrSXQ1h-hy-YqrVEpYOw4YIiN1n4lN…pdf</t>
        </is>
      </c>
      <c r="C9" s="11" t="inlineStr">
        <is>
          <t>Livro AFE — NOME ILEGÍVEL, renomear</t>
        </is>
      </c>
      <c r="D9" s="11" t="inlineStr">
        <is>
          <t>94 MB</t>
        </is>
      </c>
      <c r="E9" s="11" t="inlineStr">
        <is>
          <t>https://drive.google.com/file/d/1KMqjjp5S5Vxe-x6dL3VFzyd3h2zL0TYa/view</t>
        </is>
      </c>
      <c r="F9" s="16" t="inlineStr">
        <is>
          <t>NÃO</t>
        </is>
      </c>
      <c r="G9" s="11" t="inlineStr">
        <is>
          <t>Nome de arquivo ilegível — renomear no Drive antes de publicar</t>
        </is>
      </c>
    </row>
    <row r="10">
      <c r="A10" s="9" t="n">
        <v>30</v>
      </c>
      <c r="B10" s="9" t="inlineStr">
        <is>
          <t>APznzaZrSXQ1h-hy-YqrVEpYOw4YIiN1n4lN…pdf</t>
        </is>
      </c>
      <c r="C10" s="9" t="inlineStr">
        <is>
          <t>Livro AFE — NOME ILEGÍVEL, renomear</t>
        </is>
      </c>
      <c r="D10" s="9" t="inlineStr">
        <is>
          <t>94 MB</t>
        </is>
      </c>
      <c r="E10" s="9" t="inlineStr">
        <is>
          <t>https://drive.google.com/file/d/1KMqjjp5S5Vxe-x6dL3VFzyd3h2zL0TYa/view</t>
        </is>
      </c>
      <c r="F10" s="15" t="inlineStr">
        <is>
          <t>NÃO</t>
        </is>
      </c>
      <c r="G10" s="9" t="inlineStr">
        <is>
          <t>Nome de arquivo ilegível — renomear no Drive antes de publicar</t>
        </is>
      </c>
    </row>
    <row r="11">
      <c r="A11" s="11" t="n">
        <v>42</v>
      </c>
      <c r="B11" s="11" t="inlineStr">
        <is>
          <t>1Rheologic_and_Physicochemical_Characteristics_of_HA.pdf</t>
        </is>
      </c>
      <c r="C11" s="11" t="inlineStr">
        <is>
          <t>de la Guardia — reologia do AH</t>
        </is>
      </c>
      <c r="D11" s="11" t="inlineStr">
        <is>
          <t>1,3 MB</t>
        </is>
      </c>
      <c r="E11" s="11" t="inlineStr">
        <is>
          <t>https://drive.google.com/file/d/1AzTX83z4wetiAroor7GvT4i8jWsE1LB3/view</t>
        </is>
      </c>
      <c r="F11" s="16" t="inlineStr">
        <is>
          <t>NÃO</t>
        </is>
      </c>
      <c r="G11" s="11" t="n"/>
    </row>
    <row r="12">
      <c r="A12" s="9" t="n">
        <v>42</v>
      </c>
      <c r="B12" s="9" t="inlineStr">
        <is>
          <t>sweeeling factor.pdf</t>
        </is>
      </c>
      <c r="C12" s="9" t="inlineStr">
        <is>
          <t>Swelling factor</t>
        </is>
      </c>
      <c r="D12" s="9" t="inlineStr">
        <is>
          <t>943 KB</t>
        </is>
      </c>
      <c r="E12" s="9" t="inlineStr">
        <is>
          <t>https://drive.google.com/file/d/1Bx2WTa_isjzuzG7kFRbJatKmiWwDQU5B/view</t>
        </is>
      </c>
      <c r="F12" s="15" t="inlineStr">
        <is>
          <t>NÃO</t>
        </is>
      </c>
      <c r="G12" s="9" t="n"/>
    </row>
    <row r="13">
      <c r="A13" s="11" t="n">
        <v>58</v>
      </c>
      <c r="B13" s="11" t="inlineStr">
        <is>
          <t>JOCD-22-439.pdf</t>
        </is>
      </c>
      <c r="C13" s="11" t="inlineStr">
        <is>
          <t>Kato 2022 (JOCD) — tear trough</t>
        </is>
      </c>
      <c r="D13" s="11" t="inlineStr">
        <is>
          <t>9,7 MB</t>
        </is>
      </c>
      <c r="E13" s="11" t="inlineStr">
        <is>
          <t>https://drive.google.com/file/d/1_hzAqkbwOV5hdJL__os_-2jS16KYEWh1/view</t>
        </is>
      </c>
      <c r="F13" s="16" t="inlineStr">
        <is>
          <t>NÃO</t>
        </is>
      </c>
      <c r="G13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6" customWidth="1" min="1" max="1"/>
    <col width="92" customWidth="1" min="2" max="2"/>
  </cols>
  <sheetData>
    <row r="1">
      <c r="A1" s="17" t="inlineStr">
        <is>
          <t>Como usar esta planilha</t>
        </is>
      </c>
    </row>
    <row r="2"/>
    <row r="3" ht="28" customHeight="1">
      <c r="A3" s="18" t="inlineStr">
        <is>
          <t>Células amarelas</t>
        </is>
      </c>
      <c r="B3" s="19" t="inlineStr">
        <is>
          <t>As únicas que você preenche: Link ES, Status, Responsável, Data prevista, Observação, Método ES.</t>
        </is>
      </c>
    </row>
    <row r="4" ht="28" customHeight="1">
      <c r="A4" s="18" t="inlineStr">
        <is>
          <t>Células brancas/cinza</t>
        </is>
      </c>
      <c r="B4" s="19" t="inlineStr">
        <is>
          <t>Dados extraídos do PDF e do Drive. Não edite — são a referência de origem.</t>
        </is>
      </c>
    </row>
    <row r="5" ht="28" customHeight="1">
      <c r="A5" s="18" t="inlineStr">
        <is>
          <t>Aba «Vídeos a traduzir»</t>
        </is>
      </c>
      <c r="B5" s="19" t="inlineStr">
        <is>
          <t>Uma linha por QR Code. Use para saber qual botão de qual página trocar.</t>
        </is>
      </c>
    </row>
    <row r="6" ht="28" customHeight="1">
      <c r="A6" s="18" t="inlineStr">
        <is>
          <t>Aba «Ativos únicos»</t>
        </is>
      </c>
      <c r="B6" s="19" t="inlineStr">
        <is>
          <t>Uma linha por vídeo. Use como lista de produção — é menor que a de QR.</t>
        </is>
      </c>
    </row>
    <row r="7" ht="28" customHeight="1">
      <c r="A7" s="18" t="inlineStr">
        <is>
          <t>Aba «Artigos»</t>
        </is>
      </c>
      <c r="B7" s="19" t="inlineStr">
        <is>
          <t>Artigos científicos: permanecem em inglês e o QR NÃO muda.</t>
        </is>
      </c>
    </row>
    <row r="8" ht="28" customHeight="1">
      <c r="A8" s="18" t="inlineStr">
        <is>
          <t>Status</t>
        </is>
      </c>
      <c r="B8" s="19" t="inlineStr">
        <is>
          <t>Use exatamente: pendente · em produção · pronto (o Resumo conta por esses valores).</t>
        </is>
      </c>
    </row>
    <row r="9" ht="28" customHeight="1">
      <c r="A9" s="18" t="n"/>
      <c r="B9" s="19" t="n"/>
    </row>
    <row r="10" ht="28" customHeight="1">
      <c r="A10" s="18" t="inlineStr">
        <is>
          <t>Marcador t=</t>
        </is>
      </c>
      <c r="B10" s="19" t="inlineStr">
        <is>
          <t>Onde houver número, o link abre o vídeo num ponto específico. Se a versão ES tiver corte diferente, RECALCULE.</t>
        </is>
      </c>
    </row>
    <row r="11" ht="28" customHeight="1">
      <c r="A11" s="18" t="inlineStr">
        <is>
          <t>O QR é imagem</t>
        </is>
      </c>
      <c r="B11" s="19" t="inlineStr">
        <is>
          <t>Trocar o link não muda o QR. A imagem tem de ser regerada e substituída na arte, e conferida escaneando com o celular.</t>
        </is>
      </c>
    </row>
    <row r="12"/>
    <row r="13">
      <c r="A13" s="20" t="inlineStr">
        <is>
          <t>EXEMPLO de linha preenchida</t>
        </is>
      </c>
    </row>
    <row r="14">
      <c r="A14" s="3" t="inlineStr">
        <is>
          <t>Link ES</t>
        </is>
      </c>
      <c r="B14" s="21" t="inlineStr">
        <is>
          <t>https://www.youtube.com/shorts/AbC123XyZ99</t>
        </is>
      </c>
    </row>
    <row r="15">
      <c r="A15" s="3" t="inlineStr">
        <is>
          <t>Status</t>
        </is>
      </c>
      <c r="B15" s="21" t="inlineStr">
        <is>
          <t>pronto</t>
        </is>
      </c>
    </row>
    <row r="16">
      <c r="A16" s="3" t="inlineStr">
        <is>
          <t>Responsável</t>
        </is>
      </c>
      <c r="B16" s="21" t="inlineStr">
        <is>
          <t>Dani</t>
        </is>
      </c>
    </row>
    <row r="17">
      <c r="A17" s="3" t="inlineStr">
        <is>
          <t>Data prevista</t>
        </is>
      </c>
      <c r="B17" s="21" t="inlineStr">
        <is>
          <t>15/09/2026</t>
        </is>
      </c>
    </row>
    <row r="18">
      <c r="A18" s="3" t="n"/>
      <c r="B18" s="21" t="n"/>
    </row>
    <row r="19">
      <c r="A19" s="3" t="inlineStr">
        <is>
          <t>Observação</t>
        </is>
      </c>
      <c r="B19" s="21" t="inlineStr">
        <is>
          <t>t= recalculado de 30 s para 27 s (corte novo)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2026-08-21T22:07:11Z</dcterms:created>
  <dcterms:modified xmlns:dcterms="http://purl.org/dc/terms/" xmlns:xsi="http://www.w3.org/2001/XMLSchema-instance" xsi:type="dcterms:W3CDTF">2026-08-21T23:28:43Z</dcterms:modified>
</cp:coreProperties>
</file>