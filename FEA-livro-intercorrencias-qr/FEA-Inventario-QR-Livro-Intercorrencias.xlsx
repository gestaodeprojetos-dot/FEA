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 pendências" sheetId="1" state="visible" r:id="rId1"/>
    <sheet name="QR codes" sheetId="2" state="visible" r:id="rId2"/>
    <sheet name="Links únicos" sheetId="3" state="visible" r:id="rId3"/>
  </sheets>
  <definedNames>
    <definedName name="_xlnm._FilterDatabase" localSheetId="1" hidden="1">'QR codes'!$A$5:$Q$28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b val="1"/>
      <color rgb="00FFFFFF"/>
      <sz val="14"/>
    </font>
    <font>
      <name val="Montserrat"/>
      <color rgb="00FFFFFF"/>
      <sz val="10"/>
    </font>
    <font>
      <name val="Montserrat"/>
      <i val="1"/>
      <color rgb="001E1B4B"/>
      <sz val="10"/>
    </font>
    <font>
      <name val="Montserrat"/>
      <b val="1"/>
      <color rgb="00FFFFFF"/>
      <sz val="10"/>
    </font>
    <font>
      <name val="Montserrat"/>
      <sz val="9"/>
    </font>
    <font>
      <name val="Montserrat"/>
      <color rgb="003846BB"/>
      <sz val="9"/>
      <u val="single"/>
    </font>
    <font>
      <name val="Montserrat"/>
      <b val="1"/>
      <color rgb="007A5B00"/>
      <sz val="9"/>
    </font>
    <font>
      <name val="Montserrat"/>
      <b val="1"/>
      <color rgb="00BB3838"/>
      <sz val="9"/>
    </font>
    <font>
      <name val="Montserrat"/>
      <b val="1"/>
      <color rgb="005B4599"/>
      <sz val="9"/>
    </font>
    <font>
      <name val="Montserrat"/>
      <b val="1"/>
      <color rgb="001E1B4B"/>
      <sz val="10"/>
    </font>
    <font>
      <name val="Montserrat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5B4599"/>
      </patternFill>
    </fill>
    <fill>
      <patternFill patternType="solid">
        <fgColor rgb="003846BB"/>
      </patternFill>
    </fill>
    <fill>
      <patternFill patternType="solid">
        <fgColor rgb="00D0D1E9"/>
      </patternFill>
    </fill>
    <fill>
      <patternFill patternType="solid">
        <fgColor rgb="00FFFFFF"/>
      </patternFill>
    </fill>
    <fill>
      <patternFill patternType="solid">
        <fgColor rgb="00FFF8D6"/>
      </patternFill>
    </fill>
    <fill>
      <patternFill patternType="solid">
        <fgColor rgb="00FFF1CC"/>
      </patternFill>
    </fill>
    <fill>
      <patternFill patternType="solid">
        <fgColor rgb="00F9F9F9"/>
      </patternFill>
    </fill>
    <fill>
      <patternFill patternType="solid">
        <fgColor rgb="00F6DADA"/>
      </patternFill>
    </fill>
  </fills>
  <borders count="2">
    <border>
      <left/>
      <right/>
      <top/>
      <bottom/>
      <diagonal/>
    </border>
    <border>
      <left style="thin">
        <color rgb="00E9E9E9"/>
      </left>
      <right style="thin">
        <color rgb="00E9E9E9"/>
      </right>
      <top style="thin">
        <color rgb="00E9E9E9"/>
      </top>
      <bottom style="thin">
        <color rgb="00E9E9E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 indent="1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tHj3C58l9NhqokvQBIisp-RO25MrDGfp/view" TargetMode="External" Id="rId1" /><Relationship Type="http://schemas.openxmlformats.org/officeDocument/2006/relationships/hyperlink" Target="https://www.youtube.com/watch?v=HW62ZM3NDC8" TargetMode="External" Id="rId2" /><Relationship Type="http://schemas.openxmlformats.org/officeDocument/2006/relationships/hyperlink" Target="https://www.youtube.com/watch?v=2Qoh7fWG5w4" TargetMode="External" Id="rId3" /><Relationship Type="http://schemas.openxmlformats.org/officeDocument/2006/relationships/hyperlink" Target="https://drive.google.com/file/d/1F8aLFw8VV62JQngjfkHLNpHn2lr8jmjj/view" TargetMode="External" Id="rId4" /><Relationship Type="http://schemas.openxmlformats.org/officeDocument/2006/relationships/hyperlink" Target="https://drive.google.com/file/d/1WPpBXXtYISZ68Pf8ak2V2kKkPcLS_GuK/view" TargetMode="External" Id="rId5" /><Relationship Type="http://schemas.openxmlformats.org/officeDocument/2006/relationships/hyperlink" Target="https://drive.google.com/file/d/1F8aLFw8VV62JQngjfkHLNpHn2lr8jmjj/view" TargetMode="External" Id="rId6" /><Relationship Type="http://schemas.openxmlformats.org/officeDocument/2006/relationships/hyperlink" Target="https://www.youtube.com/watch?v=2Qoh7fWG5w4" TargetMode="External" Id="rId7" /><Relationship Type="http://schemas.openxmlformats.org/officeDocument/2006/relationships/hyperlink" Target="https://drive.google.com/file/d/1tHj3C58l9NhqokvQBIisp-RO25MrDGfp/view" TargetMode="External" Id="rId8" /><Relationship Type="http://schemas.openxmlformats.org/officeDocument/2006/relationships/hyperlink" Target="https://www.youtube.com/watch?v=zb0ZWo29Pk8" TargetMode="External" Id="rId9" /><Relationship Type="http://schemas.openxmlformats.org/officeDocument/2006/relationships/hyperlink" Target="https://drive.google.com/file/d/19A8eYYAofI8Eiq4fIyk0kv-kJZf8aAvM/view?usp=drive_link" TargetMode="External" Id="rId10" /><Relationship Type="http://schemas.openxmlformats.org/officeDocument/2006/relationships/hyperlink" Target="https://www.youtube.com/watch?v=w7ZawtnNb2o" TargetMode="External" Id="rId11" /><Relationship Type="http://schemas.openxmlformats.org/officeDocument/2006/relationships/hyperlink" Target="https://drive.google.com/file/d/11p9QK_qVuG__8htGvDWr3wPImLY-Ovbp/view" TargetMode="External" Id="rId12" /><Relationship Type="http://schemas.openxmlformats.org/officeDocument/2006/relationships/hyperlink" Target="https://www.youtube.com/watch?v=_yWZEknxYqo" TargetMode="External" Id="rId13" /><Relationship Type="http://schemas.openxmlformats.org/officeDocument/2006/relationships/hyperlink" Target="https://drive.google.com/file/d/1tHj3C58l9NhqokvQBIisp-RO25MrDGfp/view" TargetMode="External" Id="rId14" /><Relationship Type="http://schemas.openxmlformats.org/officeDocument/2006/relationships/hyperlink" Target="https://www.youtube.com/watch?v=NCHkXFLKZds" TargetMode="External" Id="rId15" /><Relationship Type="http://schemas.openxmlformats.org/officeDocument/2006/relationships/hyperlink" Target="https://www.youtube.com/watch?v=QocyeCsLs9M" TargetMode="External" Id="rId16" /><Relationship Type="http://schemas.openxmlformats.org/officeDocument/2006/relationships/hyperlink" Target="https://drive.google.com/file/d/1WPpBXXtYISZ68Pf8ak2V2kKkPcLS_GuK/view" TargetMode="External" Id="rId17" /><Relationship Type="http://schemas.openxmlformats.org/officeDocument/2006/relationships/hyperlink" Target="https://www.youtube.com/watch?v=GnGMUiPcoC0" TargetMode="External" Id="rId18" /><Relationship Type="http://schemas.openxmlformats.org/officeDocument/2006/relationships/hyperlink" Target="https://drive.google.com/file/d/1k9pgxv8gf8-mBA-jTmHvmZ7dFqFcRbQs/view" TargetMode="External" Id="rId19" /><Relationship Type="http://schemas.openxmlformats.org/officeDocument/2006/relationships/hyperlink" Target="https://drive.google.com/file/d/1k9pgxv8gf8-mBA-jTmHvmZ7dFqFcRbQs/view" TargetMode="External" Id="rId20" /><Relationship Type="http://schemas.openxmlformats.org/officeDocument/2006/relationships/hyperlink" Target="https://www.youtube.com/watch?v=YUirUEfaMjc" TargetMode="External" Id="rId21" /><Relationship Type="http://schemas.openxmlformats.org/officeDocument/2006/relationships/hyperlink" Target="https://www.youtube.com/watch?v=XzONB5671uY" TargetMode="External" Id="rId22" /><Relationship Type="http://schemas.openxmlformats.org/officeDocument/2006/relationships/hyperlink" Target="https://www.youtube.com/watch?v=dh26SwtfD2U" TargetMode="External" Id="rId23" 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tHj3C58l9NhqokvQBIisp-RO25MrDGfp/view" TargetMode="External" Id="rId1" /><Relationship Type="http://schemas.openxmlformats.org/officeDocument/2006/relationships/hyperlink" Target="https://www.youtube.com/watch?v=HW62ZM3NDC8" TargetMode="External" Id="rId2" /><Relationship Type="http://schemas.openxmlformats.org/officeDocument/2006/relationships/hyperlink" Target="https://www.youtube.com/watch?v=2Qoh7fWG5w4" TargetMode="External" Id="rId3" /><Relationship Type="http://schemas.openxmlformats.org/officeDocument/2006/relationships/hyperlink" Target="https://drive.google.com/file/d/1F8aLFw8VV62JQngjfkHLNpHn2lr8jmjj/view" TargetMode="External" Id="rId4" /><Relationship Type="http://schemas.openxmlformats.org/officeDocument/2006/relationships/hyperlink" Target="https://drive.google.com/file/d/1WPpBXXtYISZ68Pf8ak2V2kKkPcLS_GuK/view" TargetMode="External" Id="rId5" /><Relationship Type="http://schemas.openxmlformats.org/officeDocument/2006/relationships/hyperlink" Target="https://www.youtube.com/watch?v=zb0ZWo29Pk8" TargetMode="External" Id="rId6" /><Relationship Type="http://schemas.openxmlformats.org/officeDocument/2006/relationships/hyperlink" Target="https://drive.google.com/file/d/19A8eYYAofI8Eiq4fIyk0kv-kJZf8aAvM/view?usp=drive_link" TargetMode="External" Id="rId7" /><Relationship Type="http://schemas.openxmlformats.org/officeDocument/2006/relationships/hyperlink" Target="https://www.youtube.com/watch?v=w7ZawtnNb2o" TargetMode="External" Id="rId8" /><Relationship Type="http://schemas.openxmlformats.org/officeDocument/2006/relationships/hyperlink" Target="https://drive.google.com/file/d/11p9QK_qVuG__8htGvDWr3wPImLY-Ovbp/view" TargetMode="External" Id="rId9" /><Relationship Type="http://schemas.openxmlformats.org/officeDocument/2006/relationships/hyperlink" Target="https://www.youtube.com/watch?v=_yWZEknxYqo" TargetMode="External" Id="rId10" /><Relationship Type="http://schemas.openxmlformats.org/officeDocument/2006/relationships/hyperlink" Target="https://www.youtube.com/watch?v=NCHkXFLKZds" TargetMode="External" Id="rId11" /><Relationship Type="http://schemas.openxmlformats.org/officeDocument/2006/relationships/hyperlink" Target="https://www.youtube.com/watch?v=QocyeCsLs9M" TargetMode="External" Id="rId12" /><Relationship Type="http://schemas.openxmlformats.org/officeDocument/2006/relationships/hyperlink" Target="https://www.youtube.com/watch?v=GnGMUiPcoC0" TargetMode="External" Id="rId13" /><Relationship Type="http://schemas.openxmlformats.org/officeDocument/2006/relationships/hyperlink" Target="https://drive.google.com/file/d/1k9pgxv8gf8-mBA-jTmHvmZ7dFqFcRbQs/view" TargetMode="External" Id="rId14" /><Relationship Type="http://schemas.openxmlformats.org/officeDocument/2006/relationships/hyperlink" Target="https://www.youtube.com/watch?v=YUirUEfaMjc" TargetMode="External" Id="rId15" /><Relationship Type="http://schemas.openxmlformats.org/officeDocument/2006/relationships/hyperlink" Target="https://www.youtube.com/watch?v=XzONB5671uY" TargetMode="External" Id="rId16" /><Relationship Type="http://schemas.openxmlformats.org/officeDocument/2006/relationships/hyperlink" Target="https://www.youtube.com/watch?v=dh26SwtfD2U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70" customWidth="1" min="3" max="3"/>
  </cols>
  <sheetData>
    <row r="1">
      <c r="A1" s="1" t="inlineStr">
        <is>
          <t>Resumo da revisão dos QR codes</t>
        </is>
      </c>
      <c r="B1" s="1" t="inlineStr"/>
      <c r="C1" s="1" t="inlineStr"/>
    </row>
    <row r="2">
      <c r="A2" s="2" t="inlineStr">
        <is>
          <t>Indicador</t>
        </is>
      </c>
      <c r="B2" s="2" t="inlineStr">
        <is>
          <t>Total</t>
        </is>
      </c>
      <c r="C2" s="2" t="inlineStr">
        <is>
          <t>Leitura</t>
        </is>
      </c>
    </row>
    <row r="3">
      <c r="A3" s="3" t="inlineStr">
        <is>
          <t>Total de QR codes no PDF</t>
        </is>
      </c>
      <c r="B3" s="3">
        <f>COUNTA('QR codes'!B6:B28)</f>
        <v/>
      </c>
      <c r="C3" s="3" t="inlineStr">
        <is>
          <t>Páginas 13 a 80. Das páginas 81 a 221 não há nenhum QR (conferido página a página).</t>
        </is>
      </c>
    </row>
    <row r="4">
      <c r="A4" s="3" t="inlineStr">
        <is>
          <t>QR de vídeo (YouTube)</t>
        </is>
      </c>
      <c r="B4" s="3">
        <f>COUNTIF('QR codes'!E6:E28,"YouTube")</f>
        <v/>
      </c>
      <c r="C4" s="3" t="inlineStr">
        <is>
          <t>12 QR para 11 vídeos únicos. Todos abrem sem login e o título bate com o texto, exceto o da pág. 18.</t>
        </is>
      </c>
    </row>
    <row r="5">
      <c r="A5" s="3" t="inlineStr">
        <is>
          <t>QR de artigo (Google Drive)</t>
        </is>
      </c>
      <c r="B5" s="3">
        <f>COUNTIF('QR codes'!E6:E28,"Google Drive")</f>
        <v/>
      </c>
      <c r="C5" s="3" t="inlineStr">
        <is>
          <t>11 QR para 6 arquivos únicos. Nenhum abre para quem não está na lista de convidados.</t>
        </is>
      </c>
    </row>
    <row r="6">
      <c r="A6" s="3" t="inlineStr">
        <is>
          <t>OK</t>
        </is>
      </c>
      <c r="B6" s="3">
        <f>COUNTIF('QR codes'!L6:L28,"OK")</f>
        <v/>
      </c>
      <c r="C6" s="3" t="inlineStr">
        <is>
          <t>Destino correto e acessível.</t>
        </is>
      </c>
    </row>
    <row r="7">
      <c r="A7" s="3" t="inlineStr">
        <is>
          <t>ATENÇÃO: artigo existe, mas com acesso restrito</t>
        </is>
      </c>
      <c r="B7" s="3">
        <f>COUNTIF('QR codes'!L6:L28,"ATENÇÃO")</f>
        <v/>
      </c>
      <c r="C7" s="3" t="inlineStr">
        <is>
          <t>Págs. 13, 21, 26, 30, 33 e 40. Resolve mudando o compartilhamento de 3 arquivos, sem mexer na arte.</t>
        </is>
      </c>
    </row>
    <row r="8">
      <c r="A8" s="3" t="inlineStr">
        <is>
          <t>ERRO: QR quebrado ou trocado</t>
        </is>
      </c>
      <c r="B8" s="3">
        <f>COUNTIF('QR codes'!L6:L28,"ERRO")</f>
        <v/>
      </c>
      <c r="C8" s="3" t="inlineStr">
        <is>
          <t>Págs. 18, 23, 36, 61, 64 e 68. Exige QR novo na arte.</t>
        </is>
      </c>
    </row>
    <row r="9">
      <c r="A9" s="3" t="inlineStr">
        <is>
          <t>Correções pendentes</t>
        </is>
      </c>
      <c r="B9" s="3">
        <f>COUNTIF('QR codes'!Q6:Q28,"pendente")</f>
        <v/>
      </c>
      <c r="C9" s="3" t="inlineStr">
        <is>
          <t>Atualiza sozinho quando a coluna «Status da correção» muda. Use: pendente · em correção · corrigido e testado.</t>
        </is>
      </c>
    </row>
    <row r="11">
      <c r="A11" s="1" t="inlineStr">
        <is>
          <t>Prioridade de correção</t>
        </is>
      </c>
      <c r="B11" s="1" t="inlineStr"/>
      <c r="C11" s="1" t="inlineStr"/>
    </row>
    <row r="12" ht="32" customHeight="1">
      <c r="A12" s="3" t="inlineStr">
        <is>
          <t>1. Pág. 18: o box «Saiba mais» promete o artigo HDPH (DeLorenzi), mas o QR abre o vídeo de vascularização da pág. 29. Precisa do PDF do artigo e de QR novo.</t>
        </is>
      </c>
    </row>
    <row r="13" ht="32" customHeight="1">
      <c r="A13" s="3" t="inlineStr">
        <is>
          <t>2. Págs. 23 e 61 (mesmo link), 36, 64 e 68 (mesmo link): 3 arquivos de artigo não existem mais ou estão num Drive pessoal. Localizar os PDFs, subir na pasta de artigos com acesso público e regerar os QR.</t>
        </is>
      </c>
    </row>
    <row r="14" ht="32" customHeight="1">
      <c r="A14" s="3" t="inlineStr">
        <is>
          <t>3. Págs. 64 e 68 usam o mesmo QR, mas os textos descrevem estudos levemente diferentes (achados angiográficos oftálmicos vs. cerebrais). Confirmar com a equipe médica se é o mesmo artigo antes de regerar.</t>
        </is>
      </c>
    </row>
    <row r="15" ht="32" customHeight="1">
      <c r="A15" s="3" t="inlineStr">
        <is>
          <t>4. 3 artigos restritos (molecules-27-05398.pdf, Patterns of Filler-Induced..., 4. HIALURONIDASE REVISAO.pdf): mudar para «Qualquer pessoa com o link: Leitor». Corrige 6 QR de uma vez sem mexer na arte.</t>
        </is>
      </c>
    </row>
    <row r="16" ht="32" customHeight="1">
      <c r="A16" s="3" t="inlineStr">
        <is>
          <t>5. Numeração dos vídeos: só os 3 últimos boxes têm número (Vídeo 9, 10 e 11). Os 9 anteriores não têm. Padronizar na diagramação: ou todos numerados, ou nenhum.</t>
        </is>
      </c>
    </row>
    <row r="17" ht="32" customHeight="1">
      <c r="A17" s="3" t="inlineStr">
        <is>
          <t>6. Depois de corrigir, escanear de novo todos os QR com um celular deslogado do Google (ou aba anônima) antes de liberar o PDF.</t>
        </is>
      </c>
    </row>
    <row r="19">
      <c r="A19" s="1" t="inlineStr">
        <is>
          <t>Rastreamento de funil (oportunidade)</t>
        </is>
      </c>
      <c r="B19" s="1" t="inlineStr"/>
      <c r="C19" s="1" t="inlineStr"/>
    </row>
    <row r="20" ht="32" customHeight="1">
      <c r="A20" s="3" t="inlineStr">
        <is>
          <t>Limitação atual: os QR apontam direto para YouTube e Drive, sem UTM nem redirecionador. Hoje não dá para saber quantos leitores escanearam cada QR, nem quais capítulos geram mais interesse.</t>
        </is>
      </c>
    </row>
    <row r="21" ht="32" customHeight="1">
      <c r="A21" s="3" t="inlineStr">
        <is>
          <t>Oportunidade: ao regerar os 6 QR com erro, usar um link curto com redirecionamento (por exemplo, uma página em joaopithon.com.br/livro/qr-18) com UTM único por QR. Assim, trocar o destino no futuro não exige reimprimir o QR.</t>
        </is>
      </c>
    </row>
    <row r="22" ht="32" customHeight="1">
      <c r="A22" s="3" t="inlineStr">
        <is>
          <t>Os vídeos do YouTube também podem levar card ou link na descrição para a próxima etapa do funil (Masterclass, FEA), medindo a passagem do livro para a captação.</t>
        </is>
      </c>
    </row>
    <row r="23" ht="32" customHeight="1">
      <c r="A23" s="3" t="inlineStr">
        <is>
          <t>Sem métrica, otimização é palpite.</t>
        </is>
      </c>
    </row>
  </sheetData>
  <mergeCells count="10">
    <mergeCell ref="A13:C13"/>
    <mergeCell ref="A23:C23"/>
    <mergeCell ref="A14:C14"/>
    <mergeCell ref="A22:C22"/>
    <mergeCell ref="A17:C17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4" customWidth="1" min="3" max="3"/>
    <col width="9" customWidth="1" min="4" max="4"/>
    <col width="13" customWidth="1" min="5" max="5"/>
    <col width="34" customWidth="1" min="6" max="6"/>
    <col width="42" customWidth="1" min="7" max="7"/>
    <col width="44" customWidth="1" min="8" max="8"/>
    <col width="46" customWidth="1" min="9" max="9"/>
    <col width="14" customWidth="1" min="10" max="10"/>
    <col width="12" customWidth="1" min="11" max="11"/>
    <col width="11" customWidth="1" min="12" max="12"/>
    <col width="48" customWidth="1" min="13" max="13"/>
    <col width="48" customWidth="1" min="14" max="14"/>
    <col width="18" customWidth="1" min="15" max="15"/>
    <col width="14" customWidth="1" min="16" max="16"/>
    <col width="18" customWidth="1" min="17" max="17"/>
  </cols>
  <sheetData>
    <row r="1" ht="30" customHeight="1">
      <c r="A1" s="4" t="inlineStr">
        <is>
          <t>Inventário de QR Codes · Livro Intercorrências no Preenchimento com Ácido Hialurônico · Dr. João Pithon</t>
        </is>
      </c>
    </row>
    <row r="2" ht="22" customHeight="1">
      <c r="A2" s="5" t="inlineStr">
        <is>
          <t>23 QR codes lidos do PDF final (versão de 01/10/2026, 221 páginas) · todos os links testados sem login em 05/10/2026 · 11 OK · 6 ATENÇÃO (artigo restrito) · 6 ERRO (QR trocado ou arquivo inexistente)</t>
        </is>
      </c>
    </row>
    <row r="3" ht="36" customHeight="1">
      <c r="A3" s="6" t="inlineStr">
        <is>
          <t>Preencha só as colunas amarelas. O QR é imagem: trocar o arquivo de destino não muda o QR, mas se o LINK mudar a imagem tem de ser regerada, substituída na arte e conferida escaneando com o celular. Para os itens ATENÇÃO basta mudar o compartilhamento: o link e o QR continuam os mesmos.</t>
        </is>
      </c>
    </row>
    <row r="5" ht="32" customHeight="1">
      <c r="A5" s="7" t="inlineStr">
        <is>
          <t>#</t>
        </is>
      </c>
      <c r="B5" s="7" t="inlineStr">
        <is>
          <t>Pág.</t>
        </is>
      </c>
      <c r="C5" s="7" t="inlineStr">
        <is>
          <t>Seção do livro</t>
        </is>
      </c>
      <c r="D5" s="7" t="inlineStr">
        <is>
          <t>Tipo</t>
        </is>
      </c>
      <c r="E5" s="7" t="inlineStr">
        <is>
          <t>Plataforma</t>
        </is>
      </c>
      <c r="F5" s="7" t="inlineStr">
        <is>
          <t>Rótulo no livro</t>
        </is>
      </c>
      <c r="G5" s="7" t="inlineStr">
        <is>
          <t>O que o texto do livro promete</t>
        </is>
      </c>
      <c r="H5" s="7" t="inlineStr">
        <is>
          <t>Para onde o QR leva de fato</t>
        </is>
      </c>
      <c r="I5" s="7" t="inlineStr">
        <is>
          <t>Link do QR</t>
        </is>
      </c>
      <c r="J5" s="7" t="inlineStr">
        <is>
          <t>Repetido em</t>
        </is>
      </c>
      <c r="K5" s="7" t="inlineStr">
        <is>
          <t>Abre sem login?</t>
        </is>
      </c>
      <c r="L5" s="7" t="inlineStr">
        <is>
          <t>Revisão</t>
        </is>
      </c>
      <c r="M5" s="7" t="inlineStr">
        <is>
          <t>Problema encontrado</t>
        </is>
      </c>
      <c r="N5" s="7" t="inlineStr">
        <is>
          <t>Ação recomendada</t>
        </is>
      </c>
      <c r="O5" s="8" t="inlineStr">
        <is>
          <t>Responsável</t>
        </is>
      </c>
      <c r="P5" s="8" t="inlineStr">
        <is>
          <t>Data prevista</t>
        </is>
      </c>
      <c r="Q5" s="8" t="inlineStr">
        <is>
          <t>Status da correção</t>
        </is>
      </c>
    </row>
    <row r="6">
      <c r="A6" s="9" t="n">
        <v>1</v>
      </c>
      <c r="B6" s="9" t="n">
        <v>13</v>
      </c>
      <c r="C6" s="10" t="inlineStr">
        <is>
          <t>1.1 Oclusão vascular aguda</t>
        </is>
      </c>
      <c r="D6" s="9" t="inlineStr">
        <is>
          <t>Artigo</t>
        </is>
      </c>
      <c r="E6" s="10" t="inlineStr">
        <is>
          <t>Google Drive</t>
        </is>
      </c>
      <c r="F6" s="10" t="inlineStr">
        <is>
          <t>Saiba mais</t>
        </is>
      </c>
      <c r="G6" s="10" t="inlineStr">
        <is>
          <t>Artigo de Danny J. Soares sobre fisiopatologia da oclusão vascular por AH</t>
        </is>
      </c>
      <c r="H6" s="10" t="inlineStr">
        <is>
          <t>Artigo de Danny J. Soares, Molecules 2022 (“Bridging a Century-Old Problem”, fisiopatologia da oclusão vascular por AH, FIVO) · molecules-27-05398.pdf</t>
        </is>
      </c>
      <c r="I6" s="11" t="inlineStr">
        <is>
          <t>https://drive.google.com/file/d/1tHj3C58l9NhqokvQBIisp-RO25MrDGfp/view</t>
        </is>
      </c>
      <c r="J6" s="9" t="inlineStr">
        <is>
          <t>pág. 30, 40</t>
        </is>
      </c>
      <c r="K6" s="12" t="inlineStr">
        <is>
          <t>Não</t>
        </is>
      </c>
      <c r="L6" s="13" t="inlineStr">
        <is>
          <t>ATENÇÃO</t>
        </is>
      </c>
      <c r="M6" s="10" t="inlineStr">
        <is>
          <t>Arquivo com acesso restrito: quem escaneia sem estar na lista de convidados cai na tela “Você precisa de acesso”.</t>
        </is>
      </c>
      <c r="N6" s="10" t="inlineStr">
        <is>
          <t>No Drive: Compartilhar &gt; Acesso geral &gt; “Qualquer pessoa com o link” &gt; Leitor. O QR não muda.</t>
        </is>
      </c>
      <c r="O6" s="14" t="inlineStr"/>
      <c r="P6" s="15" t="inlineStr"/>
      <c r="Q6" s="15" t="inlineStr">
        <is>
          <t>pendente</t>
        </is>
      </c>
    </row>
    <row r="7">
      <c r="A7" s="16" t="n">
        <v>2</v>
      </c>
      <c r="B7" s="16" t="n">
        <v>15</v>
      </c>
      <c r="C7" s="17" t="inlineStr">
        <is>
          <t>1.1 Oclusão vascular aguda</t>
        </is>
      </c>
      <c r="D7" s="16" t="inlineStr">
        <is>
          <t>Vídeo</t>
        </is>
      </c>
      <c r="E7" s="17" t="inlineStr">
        <is>
          <t>YouTube</t>
        </is>
      </c>
      <c r="F7" s="17" t="inlineStr">
        <is>
          <t>Na prática: Introdução ao raciocínio clínico de complicações agudas isquêmicas</t>
        </is>
      </c>
      <c r="G7" s="17" t="inlineStr">
        <is>
          <t>Vídeo do Dr. João sobre raciocínio clínico nas complicações isquêmicas agudas</t>
        </is>
      </c>
      <c r="H7" s="17" t="inlineStr">
        <is>
          <t>Vídeo “Introdução ao raciocínio clínico de complicações agudas isquêmicas” (canal João Pithon)</t>
        </is>
      </c>
      <c r="I7" s="18" t="inlineStr">
        <is>
          <t>https://www.youtube.com/watch?v=HW62ZM3NDC8</t>
        </is>
      </c>
      <c r="J7" s="16" t="inlineStr">
        <is>
          <t>não</t>
        </is>
      </c>
      <c r="K7" s="16" t="inlineStr">
        <is>
          <t>Sim</t>
        </is>
      </c>
      <c r="L7" s="19" t="inlineStr">
        <is>
          <t>OK</t>
        </is>
      </c>
      <c r="M7" s="17" t="inlineStr"/>
      <c r="N7" s="17" t="inlineStr"/>
      <c r="O7" s="14" t="inlineStr"/>
      <c r="P7" s="15" t="inlineStr"/>
      <c r="Q7" s="15" t="inlineStr">
        <is>
          <t>n/a</t>
        </is>
      </c>
    </row>
    <row r="8">
      <c r="A8" s="9" t="n">
        <v>3</v>
      </c>
      <c r="B8" s="9" t="n">
        <v>18</v>
      </c>
      <c r="C8" s="10" t="inlineStr">
        <is>
          <t>1.1 Oclusão vascular aguda</t>
        </is>
      </c>
      <c r="D8" s="9" t="inlineStr">
        <is>
          <t>Artigo</t>
        </is>
      </c>
      <c r="E8" s="10" t="inlineStr">
        <is>
          <t>YouTube</t>
        </is>
      </c>
      <c r="F8" s="10" t="inlineStr">
        <is>
          <t>Saiba mais</t>
        </is>
      </c>
      <c r="G8" s="10" t="inlineStr">
        <is>
          <t>Artigo científico do protocolo HDPH (Alta Dose de Hialuronidase Pulsada), de Claudio DeLorenzi</t>
        </is>
      </c>
      <c r="H8" s="20" t="inlineStr">
        <is>
          <t>Vídeo “Revisão anatômica global da face - Vascularização” (o mesmo QR da pág. 29)</t>
        </is>
      </c>
      <c r="I8" s="11" t="inlineStr">
        <is>
          <t>https://www.youtube.com/watch?v=2Qoh7fWG5w4</t>
        </is>
      </c>
      <c r="J8" s="9" t="inlineStr">
        <is>
          <t>pág. 29</t>
        </is>
      </c>
      <c r="K8" s="9" t="inlineStr">
        <is>
          <t>Sim</t>
        </is>
      </c>
      <c r="L8" s="21" t="inlineStr">
        <is>
          <t>ERRO</t>
        </is>
      </c>
      <c r="M8" s="10" t="inlineStr">
        <is>
          <t>QR trocado: o box promete o artigo HDPH de DeLorenzi, mas o QR abre um vídeo de anatomia vascular. Provável cópia do QR da pág. 29.</t>
        </is>
      </c>
      <c r="N8" s="10" t="inlineStr">
        <is>
          <t>Localizar o PDF do artigo HDPH (DeLorenzi), salvar no Drive com acesso “Qualquer pessoa com o link”, gerar QR novo, substituir na arte e testar com o celular.</t>
        </is>
      </c>
      <c r="O8" s="14" t="inlineStr"/>
      <c r="P8" s="15" t="inlineStr"/>
      <c r="Q8" s="15" t="inlineStr">
        <is>
          <t>pendente</t>
        </is>
      </c>
    </row>
    <row r="9">
      <c r="A9" s="16" t="n">
        <v>4</v>
      </c>
      <c r="B9" s="16" t="n">
        <v>21</v>
      </c>
      <c r="C9" s="17" t="inlineStr">
        <is>
          <t>1.1 Oclusão vascular aguda</t>
        </is>
      </c>
      <c r="D9" s="16" t="inlineStr">
        <is>
          <t>Artigo</t>
        </is>
      </c>
      <c r="E9" s="17" t="inlineStr">
        <is>
          <t>Google Drive</t>
        </is>
      </c>
      <c r="F9" s="17" t="inlineStr">
        <is>
          <t>Saiba mais</t>
        </is>
      </c>
      <c r="G9" s="17" t="inlineStr">
        <is>
          <t>Artigo sobre a distribuição anatômica das áreas acometidas por isquemia cutânea (escala FOEM)</t>
        </is>
      </c>
      <c r="H9" s="17" t="inlineStr">
        <is>
          <t>Artigo “Patterns of Filler-Induced Facial Skin Ischemia” (revisão de 243 casos, escala FOEM) · 5. Patterns_of_Filler_Induced_Facial_Skin_Ischemia__A.15.pdf</t>
        </is>
      </c>
      <c r="I9" s="18" t="inlineStr">
        <is>
          <t>https://drive.google.com/file/d/1F8aLFw8VV62JQngjfkHLNpHn2lr8jmjj/view</t>
        </is>
      </c>
      <c r="J9" s="16" t="inlineStr">
        <is>
          <t>pág. 26</t>
        </is>
      </c>
      <c r="K9" s="22" t="inlineStr">
        <is>
          <t>Não</t>
        </is>
      </c>
      <c r="L9" s="13" t="inlineStr">
        <is>
          <t>ATENÇÃO</t>
        </is>
      </c>
      <c r="M9" s="17" t="inlineStr">
        <is>
          <t>Arquivo com acesso restrito: quem escaneia sem estar na lista de convidados cai na tela “Você precisa de acesso”.</t>
        </is>
      </c>
      <c r="N9" s="17" t="inlineStr">
        <is>
          <t>No Drive: Compartilhar &gt; Acesso geral &gt; “Qualquer pessoa com o link” &gt; Leitor. O QR não muda.</t>
        </is>
      </c>
      <c r="O9" s="14" t="inlineStr"/>
      <c r="P9" s="15" t="inlineStr"/>
      <c r="Q9" s="15" t="inlineStr">
        <is>
          <t>pendente</t>
        </is>
      </c>
    </row>
    <row r="10">
      <c r="A10" s="9" t="n">
        <v>5</v>
      </c>
      <c r="B10" s="9" t="n">
        <v>23</v>
      </c>
      <c r="C10" s="10" t="inlineStr">
        <is>
          <t>1.1 Oclusão vascular aguda</t>
        </is>
      </c>
      <c r="D10" s="9" t="inlineStr">
        <is>
          <t>Artigo</t>
        </is>
      </c>
      <c r="E10" s="10" t="inlineStr">
        <is>
          <t>Google Drive</t>
        </is>
      </c>
      <c r="F10" s="10" t="inlineStr">
        <is>
          <t>Saiba mais</t>
        </is>
      </c>
      <c r="G10" s="10" t="inlineStr">
        <is>
          <t>Artigo “Ischemic Complications of Dermal Fillers” (Plastic and Aesthetic Research)</t>
        </is>
      </c>
      <c r="H10" s="20" t="inlineStr">
        <is>
          <t>Não abre (arquivo não encontrado)</t>
        </is>
      </c>
      <c r="I10" s="11" t="inlineStr">
        <is>
          <t>https://drive.google.com/file/d/1WPpBXXtYISZ68Pf8ak2V2kKkPcLS_GuK/view</t>
        </is>
      </c>
      <c r="J10" s="9" t="inlineStr">
        <is>
          <t>pág. 61</t>
        </is>
      </c>
      <c r="K10" s="12" t="inlineStr">
        <is>
          <t>Não</t>
        </is>
      </c>
      <c r="L10" s="21" t="inlineStr">
        <is>
          <t>ERRO</t>
        </is>
      </c>
      <c r="M10" s="10" t="inlineStr">
        <is>
          <t>Arquivo não encontrado: foi excluído, está na lixeira ou está num Drive pessoal sem compartilhamento. Nem a conta da gestão abre.</t>
        </is>
      </c>
      <c r="N10" s="10" t="inlineStr">
        <is>
          <t>Localizar o PDF do artigo, salvar na pasta de artigos do livro com acesso “Qualquer pessoa com o link”, gerar QR novo, substituir na arte e testar com o celular.</t>
        </is>
      </c>
      <c r="O10" s="14" t="inlineStr"/>
      <c r="P10" s="15" t="inlineStr"/>
      <c r="Q10" s="15" t="inlineStr">
        <is>
          <t>pendente</t>
        </is>
      </c>
    </row>
    <row r="11">
      <c r="A11" s="16" t="n">
        <v>6</v>
      </c>
      <c r="B11" s="16" t="n">
        <v>26</v>
      </c>
      <c r="C11" s="17" t="inlineStr">
        <is>
          <t>1.1 Oclusão vascular aguda</t>
        </is>
      </c>
      <c r="D11" s="16" t="inlineStr">
        <is>
          <t>Artigo</t>
        </is>
      </c>
      <c r="E11" s="17" t="inlineStr">
        <is>
          <t>Google Drive</t>
        </is>
      </c>
      <c r="F11" s="17" t="inlineStr">
        <is>
          <t>Saiba mais</t>
        </is>
      </c>
      <c r="G11" s="17" t="inlineStr">
        <is>
          <t>Artigo “Patterns of Filler-Induced Facial Skin Ischemia” (243 casos, escala FOEM)</t>
        </is>
      </c>
      <c r="H11" s="17" t="inlineStr">
        <is>
          <t>Artigo “Patterns of Filler-Induced Facial Skin Ischemia” (revisão de 243 casos, escala FOEM) · 5. Patterns_of_Filler_Induced_Facial_Skin_Ischemia__A.15.pdf</t>
        </is>
      </c>
      <c r="I11" s="18" t="inlineStr">
        <is>
          <t>https://drive.google.com/file/d/1F8aLFw8VV62JQngjfkHLNpHn2lr8jmjj/view</t>
        </is>
      </c>
      <c r="J11" s="16" t="inlineStr">
        <is>
          <t>pág. 21</t>
        </is>
      </c>
      <c r="K11" s="22" t="inlineStr">
        <is>
          <t>Não</t>
        </is>
      </c>
      <c r="L11" s="13" t="inlineStr">
        <is>
          <t>ATENÇÃO</t>
        </is>
      </c>
      <c r="M11" s="17" t="inlineStr">
        <is>
          <t>Arquivo com acesso restrito: quem escaneia sem estar na lista de convidados cai na tela “Você precisa de acesso”.</t>
        </is>
      </c>
      <c r="N11" s="17" t="inlineStr">
        <is>
          <t>No Drive: Compartilhar &gt; Acesso geral &gt; “Qualquer pessoa com o link” &gt; Leitor. O QR não muda.</t>
        </is>
      </c>
      <c r="O11" s="14" t="inlineStr"/>
      <c r="P11" s="15" t="inlineStr"/>
      <c r="Q11" s="15" t="inlineStr">
        <is>
          <t>pendente</t>
        </is>
      </c>
    </row>
    <row r="12">
      <c r="A12" s="9" t="n">
        <v>7</v>
      </c>
      <c r="B12" s="9" t="n">
        <v>29</v>
      </c>
      <c r="C12" s="10" t="inlineStr">
        <is>
          <t>1.1 Oclusão vascular aguda</t>
        </is>
      </c>
      <c r="D12" s="9" t="inlineStr">
        <is>
          <t>Vídeo</t>
        </is>
      </c>
      <c r="E12" s="10" t="inlineStr">
        <is>
          <t>YouTube</t>
        </is>
      </c>
      <c r="F12" s="10" t="inlineStr">
        <is>
          <t>Na prática: Vídeo Revisão anatômica global da face, vascularização</t>
        </is>
      </c>
      <c r="G12" s="10" t="inlineStr">
        <is>
          <t>Vídeo de revisão anatômica da vascularização da face</t>
        </is>
      </c>
      <c r="H12" s="10" t="inlineStr">
        <is>
          <t>Vídeo “Revisão anatômica global da face - Vascularização” (canal João Pithon)</t>
        </is>
      </c>
      <c r="I12" s="11" t="inlineStr">
        <is>
          <t>https://www.youtube.com/watch?v=2Qoh7fWG5w4</t>
        </is>
      </c>
      <c r="J12" s="9" t="inlineStr">
        <is>
          <t>pág. 18</t>
        </is>
      </c>
      <c r="K12" s="9" t="inlineStr">
        <is>
          <t>Sim</t>
        </is>
      </c>
      <c r="L12" s="19" t="inlineStr">
        <is>
          <t>OK</t>
        </is>
      </c>
      <c r="M12" s="10" t="inlineStr"/>
      <c r="N12" s="10" t="inlineStr"/>
      <c r="O12" s="14" t="inlineStr"/>
      <c r="P12" s="15" t="inlineStr"/>
      <c r="Q12" s="15" t="inlineStr">
        <is>
          <t>n/a</t>
        </is>
      </c>
    </row>
    <row r="13">
      <c r="A13" s="16" t="n">
        <v>8</v>
      </c>
      <c r="B13" s="16" t="n">
        <v>30</v>
      </c>
      <c r="C13" s="17" t="inlineStr">
        <is>
          <t>1.1 Oclusão vascular aguda</t>
        </is>
      </c>
      <c r="D13" s="16" t="inlineStr">
        <is>
          <t>Artigo</t>
        </is>
      </c>
      <c r="E13" s="17" t="inlineStr">
        <is>
          <t>Google Drive</t>
        </is>
      </c>
      <c r="F13" s="17" t="inlineStr">
        <is>
          <t>Saiba mais</t>
        </is>
      </c>
      <c r="G13" s="17" t="inlineStr">
        <is>
          <t>Artigo “Bridging a Century-Old Problem” (FIVO), mecanismos moleculares da oclusão vascular</t>
        </is>
      </c>
      <c r="H13" s="17" t="inlineStr">
        <is>
          <t>Artigo de Danny J. Soares, Molecules 2022 (“Bridging a Century-Old Problem”, fisiopatologia da oclusão vascular por AH, FIVO) · molecules-27-05398.pdf</t>
        </is>
      </c>
      <c r="I13" s="18" t="inlineStr">
        <is>
          <t>https://drive.google.com/file/d/1tHj3C58l9NhqokvQBIisp-RO25MrDGfp/view</t>
        </is>
      </c>
      <c r="J13" s="16" t="inlineStr">
        <is>
          <t>pág. 13, 40</t>
        </is>
      </c>
      <c r="K13" s="22" t="inlineStr">
        <is>
          <t>Não</t>
        </is>
      </c>
      <c r="L13" s="13" t="inlineStr">
        <is>
          <t>ATENÇÃO</t>
        </is>
      </c>
      <c r="M13" s="17" t="inlineStr">
        <is>
          <t>Arquivo com acesso restrito: quem escaneia sem estar na lista de convidados cai na tela “Você precisa de acesso”.</t>
        </is>
      </c>
      <c r="N13" s="17" t="inlineStr">
        <is>
          <t>No Drive: Compartilhar &gt; Acesso geral &gt; “Qualquer pessoa com o link” &gt; Leitor. O QR não muda.</t>
        </is>
      </c>
      <c r="O13" s="14" t="inlineStr"/>
      <c r="P13" s="15" t="inlineStr"/>
      <c r="Q13" s="15" t="inlineStr">
        <is>
          <t>pendente</t>
        </is>
      </c>
    </row>
    <row r="14">
      <c r="A14" s="9" t="n">
        <v>9</v>
      </c>
      <c r="B14" s="9" t="n">
        <v>32</v>
      </c>
      <c r="C14" s="10" t="inlineStr">
        <is>
          <t>1.1 Oclusão vascular aguda</t>
        </is>
      </c>
      <c r="D14" s="9" t="inlineStr">
        <is>
          <t>Vídeo</t>
        </is>
      </c>
      <c r="E14" s="10" t="inlineStr">
        <is>
          <t>YouTube</t>
        </is>
      </c>
      <c r="F14" s="10" t="inlineStr">
        <is>
          <t>Na prática: Vídeo Hialuronidase</t>
        </is>
      </c>
      <c r="G14" s="10" t="inlineStr">
        <is>
          <t>Aula prática do Dr. João sobre uso clínico da hialuronidase</t>
        </is>
      </c>
      <c r="H14" s="10" t="inlineStr">
        <is>
          <t>Vídeo “Hialuronidase” (canal João Pithon)</t>
        </is>
      </c>
      <c r="I14" s="11" t="inlineStr">
        <is>
          <t>https://www.youtube.com/watch?v=zb0ZWo29Pk8</t>
        </is>
      </c>
      <c r="J14" s="9" t="inlineStr">
        <is>
          <t>não</t>
        </is>
      </c>
      <c r="K14" s="9" t="inlineStr">
        <is>
          <t>Sim</t>
        </is>
      </c>
      <c r="L14" s="19" t="inlineStr">
        <is>
          <t>OK</t>
        </is>
      </c>
      <c r="M14" s="10" t="inlineStr"/>
      <c r="N14" s="10" t="inlineStr"/>
      <c r="O14" s="14" t="inlineStr"/>
      <c r="P14" s="15" t="inlineStr"/>
      <c r="Q14" s="15" t="inlineStr">
        <is>
          <t>n/a</t>
        </is>
      </c>
    </row>
    <row r="15">
      <c r="A15" s="16" t="n">
        <v>10</v>
      </c>
      <c r="B15" s="16" t="n">
        <v>33</v>
      </c>
      <c r="C15" s="17" t="inlineStr">
        <is>
          <t>1.1 Oclusão vascular aguda</t>
        </is>
      </c>
      <c r="D15" s="16" t="inlineStr">
        <is>
          <t>Artigo</t>
        </is>
      </c>
      <c r="E15" s="17" t="inlineStr">
        <is>
          <t>Google Drive</t>
        </is>
      </c>
      <c r="F15" s="17" t="inlineStr">
        <is>
          <t>Saiba mais</t>
        </is>
      </c>
      <c r="G15" s="17" t="inlineStr">
        <is>
          <t>Artigo “The Role of Hyaluronidase in the Treatment of Complications From HA Dermal Fillers”</t>
        </is>
      </c>
      <c r="H15" s="17" t="inlineStr">
        <is>
          <t>Artigo de Cavallini et al., Aesthetic Surgery Journal 2013 (conteúdo conferido) · 4. HIALURONIDASE REVISAO.pdf</t>
        </is>
      </c>
      <c r="I15" s="18" t="inlineStr">
        <is>
          <t>https://drive.google.com/file/d/19A8eYYAofI8Eiq4fIyk0kv-kJZf8aAvM/view?usp=drive_link</t>
        </is>
      </c>
      <c r="J15" s="16" t="inlineStr">
        <is>
          <t>não</t>
        </is>
      </c>
      <c r="K15" s="22" t="inlineStr">
        <is>
          <t>Não</t>
        </is>
      </c>
      <c r="L15" s="13" t="inlineStr">
        <is>
          <t>ATENÇÃO</t>
        </is>
      </c>
      <c r="M15" s="17" t="inlineStr">
        <is>
          <t>Arquivo com acesso restrito: quem escaneia sem estar na lista de convidados cai na tela “Você precisa de acesso”.</t>
        </is>
      </c>
      <c r="N15" s="17" t="inlineStr">
        <is>
          <t>No Drive: Compartilhar &gt; Acesso geral &gt; “Qualquer pessoa com o link” &gt; Leitor. O QR não muda.</t>
        </is>
      </c>
      <c r="O15" s="14" t="inlineStr"/>
      <c r="P15" s="15" t="inlineStr"/>
      <c r="Q15" s="15" t="inlineStr">
        <is>
          <t>pendente</t>
        </is>
      </c>
    </row>
    <row r="16">
      <c r="A16" s="9" t="n">
        <v>11</v>
      </c>
      <c r="B16" s="9" t="n">
        <v>35</v>
      </c>
      <c r="C16" s="10" t="inlineStr">
        <is>
          <t>1.1 Oclusão vascular aguda</t>
        </is>
      </c>
      <c r="D16" s="9" t="inlineStr">
        <is>
          <t>Vídeo</t>
        </is>
      </c>
      <c r="E16" s="10" t="inlineStr">
        <is>
          <t>YouTube</t>
        </is>
      </c>
      <c r="F16" s="10" t="inlineStr">
        <is>
          <t>Na prática: Vídeo Rinomodelação, protocolo e manejo de complicações</t>
        </is>
      </c>
      <c r="G16" s="10" t="inlineStr">
        <is>
          <t>Aula sobre segurança e manejo de complicações na rinomodelação</t>
        </is>
      </c>
      <c r="H16" s="10" t="inlineStr">
        <is>
          <t>Vídeo “Rinomodelação: Protocolo e manejo das complicações” (canal João Pithon)</t>
        </is>
      </c>
      <c r="I16" s="11" t="inlineStr">
        <is>
          <t>https://www.youtube.com/watch?v=w7ZawtnNb2o</t>
        </is>
      </c>
      <c r="J16" s="9" t="inlineStr">
        <is>
          <t>não</t>
        </is>
      </c>
      <c r="K16" s="9" t="inlineStr">
        <is>
          <t>Sim</t>
        </is>
      </c>
      <c r="L16" s="19" t="inlineStr">
        <is>
          <t>OK</t>
        </is>
      </c>
      <c r="M16" s="10" t="inlineStr"/>
      <c r="N16" s="10" t="inlineStr"/>
      <c r="O16" s="14" t="inlineStr"/>
      <c r="P16" s="15" t="inlineStr"/>
      <c r="Q16" s="15" t="inlineStr">
        <is>
          <t>n/a</t>
        </is>
      </c>
    </row>
    <row r="17">
      <c r="A17" s="16" t="n">
        <v>12</v>
      </c>
      <c r="B17" s="16" t="n">
        <v>36</v>
      </c>
      <c r="C17" s="17" t="inlineStr">
        <is>
          <t>1.1 Oclusão vascular aguda</t>
        </is>
      </c>
      <c r="D17" s="16" t="inlineStr">
        <is>
          <t>Artigo</t>
        </is>
      </c>
      <c r="E17" s="17" t="inlineStr">
        <is>
          <t>Google Drive</t>
        </is>
      </c>
      <c r="F17" s="17" t="inlineStr">
        <is>
          <t>Saiba mais</t>
        </is>
      </c>
      <c r="G17" s="17" t="inlineStr">
        <is>
          <t>Artigo “Consensus Guidelines for the Management of HA Filler-Induced Vascular Occlusion”</t>
        </is>
      </c>
      <c r="H17" s="23" t="inlineStr">
        <is>
          <t>Não abre (arquivo não encontrado)</t>
        </is>
      </c>
      <c r="I17" s="18" t="inlineStr">
        <is>
          <t>https://drive.google.com/file/d/11p9QK_qVuG__8htGvDWr3wPImLY-Ovbp/view</t>
        </is>
      </c>
      <c r="J17" s="16" t="inlineStr">
        <is>
          <t>não</t>
        </is>
      </c>
      <c r="K17" s="22" t="inlineStr">
        <is>
          <t>Não</t>
        </is>
      </c>
      <c r="L17" s="21" t="inlineStr">
        <is>
          <t>ERRO</t>
        </is>
      </c>
      <c r="M17" s="17" t="inlineStr">
        <is>
          <t>Arquivo não encontrado: foi excluído, está na lixeira ou está num Drive pessoal sem compartilhamento. Nem a conta da gestão abre.</t>
        </is>
      </c>
      <c r="N17" s="17" t="inlineStr">
        <is>
          <t>Localizar o PDF do artigo, salvar na pasta de artigos do livro com acesso “Qualquer pessoa com o link”, gerar QR novo, substituir na arte e testar com o celular.</t>
        </is>
      </c>
      <c r="O17" s="14" t="inlineStr"/>
      <c r="P17" s="15" t="inlineStr"/>
      <c r="Q17" s="15" t="inlineStr">
        <is>
          <t>pendente</t>
        </is>
      </c>
    </row>
    <row r="18">
      <c r="A18" s="9" t="n">
        <v>13</v>
      </c>
      <c r="B18" s="9" t="n">
        <v>37</v>
      </c>
      <c r="C18" s="10" t="inlineStr">
        <is>
          <t>1.1 Oclusão vascular aguda</t>
        </is>
      </c>
      <c r="D18" s="9" t="inlineStr">
        <is>
          <t>Vídeo</t>
        </is>
      </c>
      <c r="E18" s="10" t="inlineStr">
        <is>
          <t>YouTube</t>
        </is>
      </c>
      <c r="F18" s="10" t="inlineStr">
        <is>
          <t>Na prática: Vídeo Mecanismos de segurança com cânulas</t>
        </is>
      </c>
      <c r="G18" s="10" t="inlineStr">
        <is>
          <t>Aula sobre uso seguro de cânulas</t>
        </is>
      </c>
      <c r="H18" s="10" t="inlineStr">
        <is>
          <t>Vídeo “Mecanismos de segurança com cânulas” (canal João Pithon)</t>
        </is>
      </c>
      <c r="I18" s="11" t="inlineStr">
        <is>
          <t>https://www.youtube.com/watch?v=_yWZEknxYqo</t>
        </is>
      </c>
      <c r="J18" s="9" t="inlineStr">
        <is>
          <t>não</t>
        </is>
      </c>
      <c r="K18" s="9" t="inlineStr">
        <is>
          <t>Sim</t>
        </is>
      </c>
      <c r="L18" s="19" t="inlineStr">
        <is>
          <t>OK</t>
        </is>
      </c>
      <c r="M18" s="10" t="inlineStr"/>
      <c r="N18" s="10" t="inlineStr"/>
      <c r="O18" s="14" t="inlineStr"/>
      <c r="P18" s="15" t="inlineStr"/>
      <c r="Q18" s="15" t="inlineStr">
        <is>
          <t>n/a</t>
        </is>
      </c>
    </row>
    <row r="19">
      <c r="A19" s="16" t="n">
        <v>14</v>
      </c>
      <c r="B19" s="16" t="n">
        <v>40</v>
      </c>
      <c r="C19" s="17" t="inlineStr">
        <is>
          <t>1.1 Oclusão vascular aguda</t>
        </is>
      </c>
      <c r="D19" s="16" t="inlineStr">
        <is>
          <t>Artigo</t>
        </is>
      </c>
      <c r="E19" s="17" t="inlineStr">
        <is>
          <t>Google Drive</t>
        </is>
      </c>
      <c r="F19" s="17" t="inlineStr">
        <is>
          <t>Saiba mais</t>
        </is>
      </c>
      <c r="G19" s="17" t="inlineStr">
        <is>
          <t>Artigo “Bridging a Century-Old Problem” (FIVO), implicações terapêuticas</t>
        </is>
      </c>
      <c r="H19" s="17" t="inlineStr">
        <is>
          <t>Artigo de Danny J. Soares, Molecules 2022 (“Bridging a Century-Old Problem”, fisiopatologia da oclusão vascular por AH, FIVO) · molecules-27-05398.pdf</t>
        </is>
      </c>
      <c r="I19" s="18" t="inlineStr">
        <is>
          <t>https://drive.google.com/file/d/1tHj3C58l9NhqokvQBIisp-RO25MrDGfp/view</t>
        </is>
      </c>
      <c r="J19" s="16" t="inlineStr">
        <is>
          <t>pág. 13, 30</t>
        </is>
      </c>
      <c r="K19" s="22" t="inlineStr">
        <is>
          <t>Não</t>
        </is>
      </c>
      <c r="L19" s="13" t="inlineStr">
        <is>
          <t>ATENÇÃO</t>
        </is>
      </c>
      <c r="M19" s="17" t="inlineStr">
        <is>
          <t>Arquivo com acesso restrito: quem escaneia sem estar na lista de convidados cai na tela “Você precisa de acesso”.</t>
        </is>
      </c>
      <c r="N19" s="17" t="inlineStr">
        <is>
          <t>No Drive: Compartilhar &gt; Acesso geral &gt; “Qualquer pessoa com o link” &gt; Leitor. O QR não muda.</t>
        </is>
      </c>
      <c r="O19" s="14" t="inlineStr"/>
      <c r="P19" s="15" t="inlineStr"/>
      <c r="Q19" s="15" t="inlineStr">
        <is>
          <t>pendente</t>
        </is>
      </c>
    </row>
    <row r="20">
      <c r="A20" s="9" t="n">
        <v>15</v>
      </c>
      <c r="B20" s="9" t="n">
        <v>43</v>
      </c>
      <c r="C20" s="10" t="inlineStr">
        <is>
          <t>1.1 Oclusão vascular aguda</t>
        </is>
      </c>
      <c r="D20" s="9" t="inlineStr">
        <is>
          <t>Vídeo</t>
        </is>
      </c>
      <c r="E20" s="10" t="inlineStr">
        <is>
          <t>YouTube</t>
        </is>
      </c>
      <c r="F20" s="10" t="inlineStr">
        <is>
          <t>Na prática: Vídeo Rinomodelação, agulha ou cânula</t>
        </is>
      </c>
      <c r="G20" s="10" t="inlineStr">
        <is>
          <t>Aula sobre agulha ou cânula na rinomodelação</t>
        </is>
      </c>
      <c r="H20" s="10" t="inlineStr">
        <is>
          <t>Vídeo “Rinomodelação agulha ou cânula?” (canal João Pithon)</t>
        </is>
      </c>
      <c r="I20" s="11" t="inlineStr">
        <is>
          <t>https://www.youtube.com/watch?v=NCHkXFLKZds</t>
        </is>
      </c>
      <c r="J20" s="9" t="inlineStr">
        <is>
          <t>não</t>
        </is>
      </c>
      <c r="K20" s="9" t="inlineStr">
        <is>
          <t>Sim</t>
        </is>
      </c>
      <c r="L20" s="19" t="inlineStr">
        <is>
          <t>OK</t>
        </is>
      </c>
      <c r="M20" s="10" t="inlineStr"/>
      <c r="N20" s="10" t="inlineStr"/>
      <c r="O20" s="14" t="inlineStr"/>
      <c r="P20" s="15" t="inlineStr"/>
      <c r="Q20" s="15" t="inlineStr">
        <is>
          <t>n/a</t>
        </is>
      </c>
    </row>
    <row r="21">
      <c r="A21" s="16" t="n">
        <v>16</v>
      </c>
      <c r="B21" s="16" t="n">
        <v>45</v>
      </c>
      <c r="C21" s="17" t="inlineStr">
        <is>
          <t>1.1 Oclusão vascular aguda</t>
        </is>
      </c>
      <c r="D21" s="16" t="inlineStr">
        <is>
          <t>Vídeo</t>
        </is>
      </c>
      <c r="E21" s="17" t="inlineStr">
        <is>
          <t>YouTube</t>
        </is>
      </c>
      <c r="F21" s="17" t="inlineStr">
        <is>
          <t>Na prática: Vídeo Preenchimento full face guiado por ultrassom, ao vivo</t>
        </is>
      </c>
      <c r="G21" s="17" t="inlineStr">
        <is>
          <t>Aula de preenchimento guiado por ultrassom</t>
        </is>
      </c>
      <c r="H21" s="17" t="inlineStr">
        <is>
          <t>Vídeo “Preenchimento full face guiado por ultrassom ao vivo” (canal João Pithon)</t>
        </is>
      </c>
      <c r="I21" s="18" t="inlineStr">
        <is>
          <t>https://www.youtube.com/watch?v=QocyeCsLs9M</t>
        </is>
      </c>
      <c r="J21" s="16" t="inlineStr">
        <is>
          <t>não</t>
        </is>
      </c>
      <c r="K21" s="16" t="inlineStr">
        <is>
          <t>Sim</t>
        </is>
      </c>
      <c r="L21" s="19" t="inlineStr">
        <is>
          <t>OK</t>
        </is>
      </c>
      <c r="M21" s="17" t="inlineStr"/>
      <c r="N21" s="17" t="inlineStr"/>
      <c r="O21" s="14" t="inlineStr"/>
      <c r="P21" s="15" t="inlineStr"/>
      <c r="Q21" s="15" t="inlineStr">
        <is>
          <t>n/a</t>
        </is>
      </c>
    </row>
    <row r="22">
      <c r="A22" s="9" t="n">
        <v>17</v>
      </c>
      <c r="B22" s="9" t="n">
        <v>61</v>
      </c>
      <c r="C22" s="10" t="inlineStr">
        <is>
          <t>1.3 Amaurose aguda</t>
        </is>
      </c>
      <c r="D22" s="9" t="inlineStr">
        <is>
          <t>Artigo</t>
        </is>
      </c>
      <c r="E22" s="10" t="inlineStr">
        <is>
          <t>Google Drive</t>
        </is>
      </c>
      <c r="F22" s="10" t="inlineStr">
        <is>
          <t>Saiba mais</t>
        </is>
      </c>
      <c r="G22" s="10" t="inlineStr">
        <is>
          <t>Artigo de revisão das complicações isquêmicas dos preenchedores (necrose a eventos neuro-oftalmológicos)</t>
        </is>
      </c>
      <c r="H22" s="20" t="inlineStr">
        <is>
          <t>Não abre (arquivo não encontrado)</t>
        </is>
      </c>
      <c r="I22" s="11" t="inlineStr">
        <is>
          <t>https://drive.google.com/file/d/1WPpBXXtYISZ68Pf8ak2V2kKkPcLS_GuK/view</t>
        </is>
      </c>
      <c r="J22" s="9" t="inlineStr">
        <is>
          <t>pág. 23</t>
        </is>
      </c>
      <c r="K22" s="12" t="inlineStr">
        <is>
          <t>Não</t>
        </is>
      </c>
      <c r="L22" s="21" t="inlineStr">
        <is>
          <t>ERRO</t>
        </is>
      </c>
      <c r="M22" s="10" t="inlineStr">
        <is>
          <t>Arquivo não encontrado: foi excluído, está na lixeira ou está num Drive pessoal sem compartilhamento. Nem a conta da gestão abre.</t>
        </is>
      </c>
      <c r="N22" s="10" t="inlineStr">
        <is>
          <t>Localizar o PDF do artigo, salvar na pasta de artigos do livro com acesso “Qualquer pessoa com o link”, gerar QR novo, substituir na arte e testar com o celular.</t>
        </is>
      </c>
      <c r="O22" s="14" t="inlineStr"/>
      <c r="P22" s="15" t="inlineStr"/>
      <c r="Q22" s="15" t="inlineStr">
        <is>
          <t>pendente</t>
        </is>
      </c>
    </row>
    <row r="23">
      <c r="A23" s="16" t="n">
        <v>18</v>
      </c>
      <c r="B23" s="16" t="n">
        <v>63</v>
      </c>
      <c r="C23" s="17" t="inlineStr">
        <is>
          <t>1.3 Amaurose aguda</t>
        </is>
      </c>
      <c r="D23" s="16" t="inlineStr">
        <is>
          <t>Vídeo</t>
        </is>
      </c>
      <c r="E23" s="17" t="inlineStr">
        <is>
          <t>YouTube</t>
        </is>
      </c>
      <c r="F23" s="17" t="inlineStr">
        <is>
          <t>Na prática: Vídeo Amaurose, protocolo de manejo das complicações</t>
        </is>
      </c>
      <c r="G23" s="17" t="inlineStr">
        <is>
          <t>Aula com o protocolo de conduta imediata na suspeita de amaurose</t>
        </is>
      </c>
      <c r="H23" s="17" t="inlineStr">
        <is>
          <t>Vídeo “Amaurose: protocolo de manejo das complicações” (canal João Pithon)</t>
        </is>
      </c>
      <c r="I23" s="18" t="inlineStr">
        <is>
          <t>https://www.youtube.com/watch?v=GnGMUiPcoC0</t>
        </is>
      </c>
      <c r="J23" s="16" t="inlineStr">
        <is>
          <t>não</t>
        </is>
      </c>
      <c r="K23" s="16" t="inlineStr">
        <is>
          <t>Sim</t>
        </is>
      </c>
      <c r="L23" s="19" t="inlineStr">
        <is>
          <t>OK</t>
        </is>
      </c>
      <c r="M23" s="17" t="inlineStr"/>
      <c r="N23" s="17" t="inlineStr"/>
      <c r="O23" s="14" t="inlineStr"/>
      <c r="P23" s="15" t="inlineStr"/>
      <c r="Q23" s="15" t="inlineStr">
        <is>
          <t>n/a</t>
        </is>
      </c>
    </row>
    <row r="24">
      <c r="A24" s="9" t="n">
        <v>19</v>
      </c>
      <c r="B24" s="9" t="n">
        <v>64</v>
      </c>
      <c r="C24" s="10" t="inlineStr">
        <is>
          <t>1.3 Amaurose aguda</t>
        </is>
      </c>
      <c r="D24" s="9" t="inlineStr">
        <is>
          <t>Artigo</t>
        </is>
      </c>
      <c r="E24" s="10" t="inlineStr">
        <is>
          <t>Google Drive</t>
        </is>
      </c>
      <c r="F24" s="10" t="inlineStr">
        <is>
          <t>Saiba mais: Oclusão arterial oftálmica e retiniana associada a preenchimentos faciais</t>
        </is>
      </c>
      <c r="G24" s="10" t="inlineStr">
        <is>
          <t>Artigo com achados angiográficos cerebrais e oftálmicos em perda visual pós-preenchimento</t>
        </is>
      </c>
      <c r="H24" s="20" t="inlineStr">
        <is>
          <t>Não abre (arquivo não encontrado)</t>
        </is>
      </c>
      <c r="I24" s="11" t="inlineStr">
        <is>
          <t>https://drive.google.com/file/d/1k9pgxv8gf8-mBA-jTmHvmZ7dFqFcRbQs/view</t>
        </is>
      </c>
      <c r="J24" s="9" t="inlineStr">
        <is>
          <t>pág. 68</t>
        </is>
      </c>
      <c r="K24" s="12" t="inlineStr">
        <is>
          <t>Não</t>
        </is>
      </c>
      <c r="L24" s="21" t="inlineStr">
        <is>
          <t>ERRO</t>
        </is>
      </c>
      <c r="M24" s="10" t="inlineStr">
        <is>
          <t>Arquivo não encontrado: foi excluído, está na lixeira ou está num Drive pessoal sem compartilhamento. Nem a conta da gestão abre. O mesmo QR está na pág. 68, com descrição de artigo parecida mas não idêntica: confirmar se é o mesmo artigo.</t>
        </is>
      </c>
      <c r="N24" s="10" t="inlineStr">
        <is>
          <t>Localizar o PDF do artigo, salvar na pasta de artigos do livro com acesso “Qualquer pessoa com o link”, gerar QR novo, substituir na arte e testar com o celular.</t>
        </is>
      </c>
      <c r="O24" s="14" t="inlineStr"/>
      <c r="P24" s="15" t="inlineStr"/>
      <c r="Q24" s="15" t="inlineStr">
        <is>
          <t>pendente</t>
        </is>
      </c>
    </row>
    <row r="25">
      <c r="A25" s="16" t="n">
        <v>20</v>
      </c>
      <c r="B25" s="16" t="n">
        <v>68</v>
      </c>
      <c r="C25" s="17" t="inlineStr">
        <is>
          <t>1.3 Amaurose aguda</t>
        </is>
      </c>
      <c r="D25" s="16" t="inlineStr">
        <is>
          <t>Artigo</t>
        </is>
      </c>
      <c r="E25" s="17" t="inlineStr">
        <is>
          <t>Google Drive</t>
        </is>
      </c>
      <c r="F25" s="17" t="inlineStr">
        <is>
          <t>Saiba mais</t>
        </is>
      </c>
      <c r="G25" s="17" t="inlineStr">
        <is>
          <t>Artigo sobre achados angiográficos cerebrais na oclusão da artéria oftálmica (AH vs. gordura autóloga)</t>
        </is>
      </c>
      <c r="H25" s="23" t="inlineStr">
        <is>
          <t>Não abre (arquivo não encontrado)</t>
        </is>
      </c>
      <c r="I25" s="18" t="inlineStr">
        <is>
          <t>https://drive.google.com/file/d/1k9pgxv8gf8-mBA-jTmHvmZ7dFqFcRbQs/view</t>
        </is>
      </c>
      <c r="J25" s="16" t="inlineStr">
        <is>
          <t>pág. 64</t>
        </is>
      </c>
      <c r="K25" s="22" t="inlineStr">
        <is>
          <t>Não</t>
        </is>
      </c>
      <c r="L25" s="21" t="inlineStr">
        <is>
          <t>ERRO</t>
        </is>
      </c>
      <c r="M25" s="17" t="inlineStr">
        <is>
          <t>Arquivo não encontrado: foi excluído, está na lixeira ou está num Drive pessoal sem compartilhamento. Nem a conta da gestão abre. Mesmo QR da pág. 64: confirmar se os dois boxes falam do mesmo artigo.</t>
        </is>
      </c>
      <c r="N25" s="17" t="inlineStr">
        <is>
          <t>Localizar o PDF do artigo, salvar na pasta de artigos do livro com acesso “Qualquer pessoa com o link”, gerar QR novo, substituir na arte e testar com o celular.</t>
        </is>
      </c>
      <c r="O25" s="14" t="inlineStr"/>
      <c r="P25" s="15" t="inlineStr"/>
      <c r="Q25" s="15" t="inlineStr">
        <is>
          <t>pendente</t>
        </is>
      </c>
    </row>
    <row r="26">
      <c r="A26" s="9" t="n">
        <v>21</v>
      </c>
      <c r="B26" s="9" t="n">
        <v>74</v>
      </c>
      <c r="C26" s="10" t="inlineStr">
        <is>
          <t>1.3 Amaurose aguda</t>
        </is>
      </c>
      <c r="D26" s="9" t="inlineStr">
        <is>
          <t>Vídeo</t>
        </is>
      </c>
      <c r="E26" s="10" t="inlineStr">
        <is>
          <t>YouTube</t>
        </is>
      </c>
      <c r="F26" s="10" t="inlineStr">
        <is>
          <t>Na prática: Vídeo 9, Complexo vascular nasoglabelar</t>
        </is>
      </c>
      <c r="G26" s="10" t="inlineStr">
        <is>
          <t>Aula prática de dissecção do complexo vascular nasoglabelar</t>
        </is>
      </c>
      <c r="H26" s="10" t="inlineStr">
        <is>
          <t>Vídeo “Complexo vascular nasoglabelar” (canal João Pithon)</t>
        </is>
      </c>
      <c r="I26" s="11" t="inlineStr">
        <is>
          <t>https://www.youtube.com/watch?v=YUirUEfaMjc</t>
        </is>
      </c>
      <c r="J26" s="9" t="inlineStr">
        <is>
          <t>não</t>
        </is>
      </c>
      <c r="K26" s="9" t="inlineStr">
        <is>
          <t>Sim</t>
        </is>
      </c>
      <c r="L26" s="19" t="inlineStr">
        <is>
          <t>OK</t>
        </is>
      </c>
      <c r="M26" s="10" t="inlineStr"/>
      <c r="N26" s="10" t="inlineStr"/>
      <c r="O26" s="14" t="inlineStr"/>
      <c r="P26" s="15" t="inlineStr"/>
      <c r="Q26" s="15" t="inlineStr">
        <is>
          <t>n/a</t>
        </is>
      </c>
    </row>
    <row r="27">
      <c r="A27" s="16" t="n">
        <v>22</v>
      </c>
      <c r="B27" s="16" t="n">
        <v>79</v>
      </c>
      <c r="C27" s="17" t="inlineStr">
        <is>
          <t>Capítulo 2 (abertura)</t>
        </is>
      </c>
      <c r="D27" s="16" t="inlineStr">
        <is>
          <t>Vídeo</t>
        </is>
      </c>
      <c r="E27" s="17" t="inlineStr">
        <is>
          <t>YouTube</t>
        </is>
      </c>
      <c r="F27" s="17" t="inlineStr">
        <is>
          <t>Na prática: Vídeo 10, Complicações agudas não isquêmicas (parte 1)</t>
        </is>
      </c>
      <c r="G27" s="17" t="inlineStr">
        <is>
          <t>Aula sobre intercorrências agudas não isquêmicas, parte 1</t>
        </is>
      </c>
      <c r="H27" s="17" t="inlineStr">
        <is>
          <t>Vídeo “Complicações agudas não isquêmicas parte 1” (canal João Pithon)</t>
        </is>
      </c>
      <c r="I27" s="18" t="inlineStr">
        <is>
          <t>https://www.youtube.com/watch?v=XzONB5671uY</t>
        </is>
      </c>
      <c r="J27" s="16" t="inlineStr">
        <is>
          <t>não</t>
        </is>
      </c>
      <c r="K27" s="16" t="inlineStr">
        <is>
          <t>Sim</t>
        </is>
      </c>
      <c r="L27" s="19" t="inlineStr">
        <is>
          <t>OK</t>
        </is>
      </c>
      <c r="M27" s="17" t="inlineStr"/>
      <c r="N27" s="17" t="inlineStr"/>
      <c r="O27" s="14" t="inlineStr"/>
      <c r="P27" s="15" t="inlineStr"/>
      <c r="Q27" s="15" t="inlineStr">
        <is>
          <t>n/a</t>
        </is>
      </c>
    </row>
    <row r="28">
      <c r="A28" s="9" t="n">
        <v>23</v>
      </c>
      <c r="B28" s="9" t="n">
        <v>80</v>
      </c>
      <c r="C28" s="10" t="inlineStr">
        <is>
          <t>Capítulo 2 (abertura)</t>
        </is>
      </c>
      <c r="D28" s="9" t="inlineStr">
        <is>
          <t>Vídeo</t>
        </is>
      </c>
      <c r="E28" s="10" t="inlineStr">
        <is>
          <t>YouTube</t>
        </is>
      </c>
      <c r="F28" s="10" t="inlineStr">
        <is>
          <t>Na prática: Vídeo 11, Complicações agudas não isquêmicas (parte 2)</t>
        </is>
      </c>
      <c r="G28" s="10" t="inlineStr">
        <is>
          <t>Aula sobre intercorrências agudas não isquêmicas, parte 2</t>
        </is>
      </c>
      <c r="H28" s="10" t="inlineStr">
        <is>
          <t>Vídeo “Complicações agudas não isquêmicas Parte 2” (canal João Pithon)</t>
        </is>
      </c>
      <c r="I28" s="11" t="inlineStr">
        <is>
          <t>https://www.youtube.com/watch?v=dh26SwtfD2U</t>
        </is>
      </c>
      <c r="J28" s="9" t="inlineStr">
        <is>
          <t>não</t>
        </is>
      </c>
      <c r="K28" s="9" t="inlineStr">
        <is>
          <t>Sim</t>
        </is>
      </c>
      <c r="L28" s="19" t="inlineStr">
        <is>
          <t>OK</t>
        </is>
      </c>
      <c r="M28" s="10" t="inlineStr"/>
      <c r="N28" s="10" t="inlineStr"/>
      <c r="O28" s="14" t="inlineStr"/>
      <c r="P28" s="15" t="inlineStr"/>
      <c r="Q28" s="15" t="inlineStr">
        <is>
          <t>n/a</t>
        </is>
      </c>
    </row>
  </sheetData>
  <autoFilter ref="A5:Q28"/>
  <mergeCells count="3">
    <mergeCell ref="A3:Q3"/>
    <mergeCell ref="A2:Q2"/>
    <mergeCell ref="A1:Q1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60" customWidth="1" min="3" max="3"/>
    <col width="16" customWidth="1" min="4" max="4"/>
    <col width="10" customWidth="1" min="5" max="5"/>
    <col width="13" customWidth="1" min="6" max="6"/>
    <col width="11" customWidth="1" min="7" max="7"/>
  </cols>
  <sheetData>
    <row r="1">
      <c r="A1" s="24" t="inlineStr">
        <is>
          <t>Link do QR</t>
        </is>
      </c>
      <c r="B1" s="24" t="inlineStr">
        <is>
          <t>Plataforma</t>
        </is>
      </c>
      <c r="C1" s="24" t="inlineStr">
        <is>
          <t>Destino</t>
        </is>
      </c>
      <c r="D1" s="24" t="inlineStr">
        <is>
          <t>Páginas</t>
        </is>
      </c>
      <c r="E1" s="24" t="inlineStr">
        <is>
          <t>Qtd. de QR</t>
        </is>
      </c>
      <c r="F1" s="24" t="inlineStr">
        <is>
          <t>Abre sem login?</t>
        </is>
      </c>
      <c r="G1" s="24" t="inlineStr">
        <is>
          <t>Revisão</t>
        </is>
      </c>
    </row>
    <row r="2">
      <c r="A2" s="25" t="inlineStr">
        <is>
          <t>https://drive.google.com/file/d/1tHj3C58l9NhqokvQBIisp-RO25MrDGfp/view</t>
        </is>
      </c>
      <c r="B2" s="26" t="inlineStr">
        <is>
          <t>Google Drive</t>
        </is>
      </c>
      <c r="C2" s="26" t="inlineStr">
        <is>
          <t>Artigo de Danny J. Soares, Molecules 2022 (“Bridging a Century-Old Problem”, fisiopatologia da oclusão vascular por AH, FIVO) · molecules-27-05398.pdf</t>
        </is>
      </c>
      <c r="D2" s="26" t="inlineStr">
        <is>
          <t>13, 30, 40</t>
        </is>
      </c>
      <c r="E2" s="26" t="n">
        <v>3</v>
      </c>
      <c r="F2" s="26" t="inlineStr">
        <is>
          <t>Não</t>
        </is>
      </c>
      <c r="G2" s="27" t="inlineStr">
        <is>
          <t>ATENÇÃO</t>
        </is>
      </c>
    </row>
    <row r="3">
      <c r="A3" s="25" t="inlineStr">
        <is>
          <t>https://www.youtube.com/watch?v=HW62ZM3NDC8</t>
        </is>
      </c>
      <c r="B3" s="26" t="inlineStr">
        <is>
          <t>YouTube</t>
        </is>
      </c>
      <c r="C3" s="26" t="inlineStr">
        <is>
          <t>Vídeo “Introdução ao raciocínio clínico de complicações agudas isquêmicas” (canal João Pithon)</t>
        </is>
      </c>
      <c r="D3" s="26" t="inlineStr">
        <is>
          <t>15</t>
        </is>
      </c>
      <c r="E3" s="26" t="n">
        <v>1</v>
      </c>
      <c r="F3" s="26" t="inlineStr">
        <is>
          <t>Sim</t>
        </is>
      </c>
      <c r="G3" s="28" t="inlineStr">
        <is>
          <t>OK</t>
        </is>
      </c>
    </row>
    <row r="4">
      <c r="A4" s="25" t="inlineStr">
        <is>
          <t>https://www.youtube.com/watch?v=2Qoh7fWG5w4</t>
        </is>
      </c>
      <c r="B4" s="26" t="inlineStr">
        <is>
          <t>YouTube</t>
        </is>
      </c>
      <c r="C4" s="26" t="inlineStr">
        <is>
          <t>Vídeo “Revisão anatômica global da face - Vascularização” (o mesmo QR da pág. 29)</t>
        </is>
      </c>
      <c r="D4" s="26" t="inlineStr">
        <is>
          <t>18, 29</t>
        </is>
      </c>
      <c r="E4" s="26" t="n">
        <v>2</v>
      </c>
      <c r="F4" s="26" t="inlineStr">
        <is>
          <t>Sim</t>
        </is>
      </c>
      <c r="G4" s="28" t="inlineStr">
        <is>
          <t>OK</t>
        </is>
      </c>
    </row>
    <row r="5">
      <c r="A5" s="25" t="inlineStr">
        <is>
          <t>https://drive.google.com/file/d/1F8aLFw8VV62JQngjfkHLNpHn2lr8jmjj/view</t>
        </is>
      </c>
      <c r="B5" s="26" t="inlineStr">
        <is>
          <t>Google Drive</t>
        </is>
      </c>
      <c r="C5" s="26" t="inlineStr">
        <is>
          <t>Artigo “Patterns of Filler-Induced Facial Skin Ischemia” (revisão de 243 casos, escala FOEM) · 5. Patterns_of_Filler_Induced_Facial_Skin_Ischemia__A.15.pdf</t>
        </is>
      </c>
      <c r="D5" s="26" t="inlineStr">
        <is>
          <t>21, 26</t>
        </is>
      </c>
      <c r="E5" s="26" t="n">
        <v>2</v>
      </c>
      <c r="F5" s="26" t="inlineStr">
        <is>
          <t>Não</t>
        </is>
      </c>
      <c r="G5" s="27" t="inlineStr">
        <is>
          <t>ATENÇÃO</t>
        </is>
      </c>
    </row>
    <row r="6">
      <c r="A6" s="25" t="inlineStr">
        <is>
          <t>https://drive.google.com/file/d/1WPpBXXtYISZ68Pf8ak2V2kKkPcLS_GuK/view</t>
        </is>
      </c>
      <c r="B6" s="26" t="inlineStr">
        <is>
          <t>Google Drive</t>
        </is>
      </c>
      <c r="C6" s="26" t="inlineStr">
        <is>
          <t>Não abre (arquivo não encontrado)</t>
        </is>
      </c>
      <c r="D6" s="26" t="inlineStr">
        <is>
          <t>23, 61</t>
        </is>
      </c>
      <c r="E6" s="26" t="n">
        <v>2</v>
      </c>
      <c r="F6" s="26" t="inlineStr">
        <is>
          <t>Não</t>
        </is>
      </c>
      <c r="G6" s="29" t="inlineStr">
        <is>
          <t>ERRO</t>
        </is>
      </c>
    </row>
    <row r="7">
      <c r="A7" s="25" t="inlineStr">
        <is>
          <t>https://www.youtube.com/watch?v=zb0ZWo29Pk8</t>
        </is>
      </c>
      <c r="B7" s="26" t="inlineStr">
        <is>
          <t>YouTube</t>
        </is>
      </c>
      <c r="C7" s="26" t="inlineStr">
        <is>
          <t>Vídeo “Hialuronidase” (canal João Pithon)</t>
        </is>
      </c>
      <c r="D7" s="26" t="inlineStr">
        <is>
          <t>32</t>
        </is>
      </c>
      <c r="E7" s="26" t="n">
        <v>1</v>
      </c>
      <c r="F7" s="26" t="inlineStr">
        <is>
          <t>Sim</t>
        </is>
      </c>
      <c r="G7" s="28" t="inlineStr">
        <is>
          <t>OK</t>
        </is>
      </c>
    </row>
    <row r="8">
      <c r="A8" s="25" t="inlineStr">
        <is>
          <t>https://drive.google.com/file/d/19A8eYYAofI8Eiq4fIyk0kv-kJZf8aAvM/view?usp=drive_link</t>
        </is>
      </c>
      <c r="B8" s="26" t="inlineStr">
        <is>
          <t>Google Drive</t>
        </is>
      </c>
      <c r="C8" s="26" t="inlineStr">
        <is>
          <t>Artigo de Cavallini et al., Aesthetic Surgery Journal 2013 (conteúdo conferido) · 4. HIALURONIDASE REVISAO.pdf</t>
        </is>
      </c>
      <c r="D8" s="26" t="inlineStr">
        <is>
          <t>33</t>
        </is>
      </c>
      <c r="E8" s="26" t="n">
        <v>1</v>
      </c>
      <c r="F8" s="26" t="inlineStr">
        <is>
          <t>Não</t>
        </is>
      </c>
      <c r="G8" s="27" t="inlineStr">
        <is>
          <t>ATENÇÃO</t>
        </is>
      </c>
    </row>
    <row r="9">
      <c r="A9" s="25" t="inlineStr">
        <is>
          <t>https://www.youtube.com/watch?v=w7ZawtnNb2o</t>
        </is>
      </c>
      <c r="B9" s="26" t="inlineStr">
        <is>
          <t>YouTube</t>
        </is>
      </c>
      <c r="C9" s="26" t="inlineStr">
        <is>
          <t>Vídeo “Rinomodelação: Protocolo e manejo das complicações” (canal João Pithon)</t>
        </is>
      </c>
      <c r="D9" s="26" t="inlineStr">
        <is>
          <t>35</t>
        </is>
      </c>
      <c r="E9" s="26" t="n">
        <v>1</v>
      </c>
      <c r="F9" s="26" t="inlineStr">
        <is>
          <t>Sim</t>
        </is>
      </c>
      <c r="G9" s="28" t="inlineStr">
        <is>
          <t>OK</t>
        </is>
      </c>
    </row>
    <row r="10">
      <c r="A10" s="25" t="inlineStr">
        <is>
          <t>https://drive.google.com/file/d/11p9QK_qVuG__8htGvDWr3wPImLY-Ovbp/view</t>
        </is>
      </c>
      <c r="B10" s="26" t="inlineStr">
        <is>
          <t>Google Drive</t>
        </is>
      </c>
      <c r="C10" s="26" t="inlineStr">
        <is>
          <t>Não abre (arquivo não encontrado)</t>
        </is>
      </c>
      <c r="D10" s="26" t="inlineStr">
        <is>
          <t>36</t>
        </is>
      </c>
      <c r="E10" s="26" t="n">
        <v>1</v>
      </c>
      <c r="F10" s="26" t="inlineStr">
        <is>
          <t>Não</t>
        </is>
      </c>
      <c r="G10" s="29" t="inlineStr">
        <is>
          <t>ERRO</t>
        </is>
      </c>
    </row>
    <row r="11">
      <c r="A11" s="25" t="inlineStr">
        <is>
          <t>https://www.youtube.com/watch?v=_yWZEknxYqo</t>
        </is>
      </c>
      <c r="B11" s="26" t="inlineStr">
        <is>
          <t>YouTube</t>
        </is>
      </c>
      <c r="C11" s="26" t="inlineStr">
        <is>
          <t>Vídeo “Mecanismos de segurança com cânulas” (canal João Pithon)</t>
        </is>
      </c>
      <c r="D11" s="26" t="inlineStr">
        <is>
          <t>37</t>
        </is>
      </c>
      <c r="E11" s="26" t="n">
        <v>1</v>
      </c>
      <c r="F11" s="26" t="inlineStr">
        <is>
          <t>Sim</t>
        </is>
      </c>
      <c r="G11" s="28" t="inlineStr">
        <is>
          <t>OK</t>
        </is>
      </c>
    </row>
    <row r="12">
      <c r="A12" s="25" t="inlineStr">
        <is>
          <t>https://www.youtube.com/watch?v=NCHkXFLKZds</t>
        </is>
      </c>
      <c r="B12" s="26" t="inlineStr">
        <is>
          <t>YouTube</t>
        </is>
      </c>
      <c r="C12" s="26" t="inlineStr">
        <is>
          <t>Vídeo “Rinomodelação agulha ou cânula?” (canal João Pithon)</t>
        </is>
      </c>
      <c r="D12" s="26" t="inlineStr">
        <is>
          <t>43</t>
        </is>
      </c>
      <c r="E12" s="26" t="n">
        <v>1</v>
      </c>
      <c r="F12" s="26" t="inlineStr">
        <is>
          <t>Sim</t>
        </is>
      </c>
      <c r="G12" s="28" t="inlineStr">
        <is>
          <t>OK</t>
        </is>
      </c>
    </row>
    <row r="13">
      <c r="A13" s="25" t="inlineStr">
        <is>
          <t>https://www.youtube.com/watch?v=QocyeCsLs9M</t>
        </is>
      </c>
      <c r="B13" s="26" t="inlineStr">
        <is>
          <t>YouTube</t>
        </is>
      </c>
      <c r="C13" s="26" t="inlineStr">
        <is>
          <t>Vídeo “Preenchimento full face guiado por ultrassom ao vivo” (canal João Pithon)</t>
        </is>
      </c>
      <c r="D13" s="26" t="inlineStr">
        <is>
          <t>45</t>
        </is>
      </c>
      <c r="E13" s="26" t="n">
        <v>1</v>
      </c>
      <c r="F13" s="26" t="inlineStr">
        <is>
          <t>Sim</t>
        </is>
      </c>
      <c r="G13" s="28" t="inlineStr">
        <is>
          <t>OK</t>
        </is>
      </c>
    </row>
    <row r="14">
      <c r="A14" s="25" t="inlineStr">
        <is>
          <t>https://www.youtube.com/watch?v=GnGMUiPcoC0</t>
        </is>
      </c>
      <c r="B14" s="26" t="inlineStr">
        <is>
          <t>YouTube</t>
        </is>
      </c>
      <c r="C14" s="26" t="inlineStr">
        <is>
          <t>Vídeo “Amaurose: protocolo de manejo das complicações” (canal João Pithon)</t>
        </is>
      </c>
      <c r="D14" s="26" t="inlineStr">
        <is>
          <t>63</t>
        </is>
      </c>
      <c r="E14" s="26" t="n">
        <v>1</v>
      </c>
      <c r="F14" s="26" t="inlineStr">
        <is>
          <t>Sim</t>
        </is>
      </c>
      <c r="G14" s="28" t="inlineStr">
        <is>
          <t>OK</t>
        </is>
      </c>
    </row>
    <row r="15">
      <c r="A15" s="25" t="inlineStr">
        <is>
          <t>https://drive.google.com/file/d/1k9pgxv8gf8-mBA-jTmHvmZ7dFqFcRbQs/view</t>
        </is>
      </c>
      <c r="B15" s="26" t="inlineStr">
        <is>
          <t>Google Drive</t>
        </is>
      </c>
      <c r="C15" s="26" t="inlineStr">
        <is>
          <t>Não abre (arquivo não encontrado)</t>
        </is>
      </c>
      <c r="D15" s="26" t="inlineStr">
        <is>
          <t>64, 68</t>
        </is>
      </c>
      <c r="E15" s="26" t="n">
        <v>2</v>
      </c>
      <c r="F15" s="26" t="inlineStr">
        <is>
          <t>Não</t>
        </is>
      </c>
      <c r="G15" s="29" t="inlineStr">
        <is>
          <t>ERRO</t>
        </is>
      </c>
    </row>
    <row r="16">
      <c r="A16" s="25" t="inlineStr">
        <is>
          <t>https://www.youtube.com/watch?v=YUirUEfaMjc</t>
        </is>
      </c>
      <c r="B16" s="26" t="inlineStr">
        <is>
          <t>YouTube</t>
        </is>
      </c>
      <c r="C16" s="26" t="inlineStr">
        <is>
          <t>Vídeo “Complexo vascular nasoglabelar” (canal João Pithon)</t>
        </is>
      </c>
      <c r="D16" s="26" t="inlineStr">
        <is>
          <t>74</t>
        </is>
      </c>
      <c r="E16" s="26" t="n">
        <v>1</v>
      </c>
      <c r="F16" s="26" t="inlineStr">
        <is>
          <t>Sim</t>
        </is>
      </c>
      <c r="G16" s="28" t="inlineStr">
        <is>
          <t>OK</t>
        </is>
      </c>
    </row>
    <row r="17">
      <c r="A17" s="25" t="inlineStr">
        <is>
          <t>https://www.youtube.com/watch?v=XzONB5671uY</t>
        </is>
      </c>
      <c r="B17" s="26" t="inlineStr">
        <is>
          <t>YouTube</t>
        </is>
      </c>
      <c r="C17" s="26" t="inlineStr">
        <is>
          <t>Vídeo “Complicações agudas não isquêmicas parte 1” (canal João Pithon)</t>
        </is>
      </c>
      <c r="D17" s="26" t="inlineStr">
        <is>
          <t>79</t>
        </is>
      </c>
      <c r="E17" s="26" t="n">
        <v>1</v>
      </c>
      <c r="F17" s="26" t="inlineStr">
        <is>
          <t>Sim</t>
        </is>
      </c>
      <c r="G17" s="28" t="inlineStr">
        <is>
          <t>OK</t>
        </is>
      </c>
    </row>
    <row r="18">
      <c r="A18" s="25" t="inlineStr">
        <is>
          <t>https://www.youtube.com/watch?v=dh26SwtfD2U</t>
        </is>
      </c>
      <c r="B18" s="26" t="inlineStr">
        <is>
          <t>YouTube</t>
        </is>
      </c>
      <c r="C18" s="26" t="inlineStr">
        <is>
          <t>Vídeo “Complicações agudas não isquêmicas Parte 2” (canal João Pithon)</t>
        </is>
      </c>
      <c r="D18" s="26" t="inlineStr">
        <is>
          <t>80</t>
        </is>
      </c>
      <c r="E18" s="26" t="n">
        <v>1</v>
      </c>
      <c r="F18" s="26" t="inlineStr">
        <is>
          <t>Sim</t>
        </is>
      </c>
      <c r="G18" s="28" t="inlineStr">
        <is>
          <t>OK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2026-10-05T12:01:29Z</dcterms:created>
  <dcterms:modified xsi:type="dcterms:W3CDTF">2026-10-05T12:01:30Z</dcterms:modified>
</cp:coreProperties>
</file>